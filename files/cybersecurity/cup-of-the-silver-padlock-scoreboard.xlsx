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reboard" sheetId="1" state="visible" r:id="rId3"/>
    <sheet name="Leaderboard" sheetId="2" state="visible" r:id="rId4"/>
    <sheet name="Priz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Sample points, so you can see the format. Clear these before class.</t>
        </r>
      </text>
    </comment>
  </commentList>
</comments>
</file>

<file path=xl/sharedStrings.xml><?xml version="1.0" encoding="utf-8"?>
<sst xmlns="http://schemas.openxmlformats.org/spreadsheetml/2006/main" count="117" uniqueCount="113">
  <si>
    <t xml:space="preserve">Cyber Lodge Cup: Scorekeeper</t>
  </si>
  <si>
    <t xml:space="preserve">How to use: type each lodge's name in the yellow header cells. After each activity, type the points that lodge earned in that row. Totals, ranks and the Leaderboard tab update on their own. The sample points in the Line of Oaths row show the format; clear them before class. Delete the names of any unused lodges so they drop off the Leaderboard. Scoring ranges come from the class deck notes.</t>
  </si>
  <si>
    <t xml:space="preserve">Activity</t>
  </si>
  <si>
    <t xml:space="preserve">Class time</t>
  </si>
  <si>
    <t xml:space="preserve">How points are earned</t>
  </si>
  <si>
    <t xml:space="preserve">Lodge 1</t>
  </si>
  <si>
    <t xml:space="preserve">Lodge 2</t>
  </si>
  <si>
    <t xml:space="preserve">Lodge 3</t>
  </si>
  <si>
    <t xml:space="preserve">Lodge 4</t>
  </si>
  <si>
    <t xml:space="preserve">Lodge 5</t>
  </si>
  <si>
    <t xml:space="preserve">Lodge 6</t>
  </si>
  <si>
    <t xml:space="preserve">Line of Oaths</t>
  </si>
  <si>
    <t xml:space="preserve">0:02</t>
  </si>
  <si>
    <t xml:space="preserve">+1 per Warden who gives a clear reason; +1 teamwork</t>
  </si>
  <si>
    <t xml:space="preserve">Hunt for Hidden Doors</t>
  </si>
  <si>
    <t xml:space="preserve">0:06</t>
  </si>
  <si>
    <t xml:space="preserve">+2 first lodge to show the setting; +1 other lodges within 30 sec</t>
  </si>
  <si>
    <t xml:space="preserve">Three Pillars trial</t>
  </si>
  <si>
    <t xml:space="preserve">0:22</t>
  </si>
  <si>
    <t xml:space="preserve">+1 per Warden in the right corner</t>
  </si>
  <si>
    <t xml:space="preserve">Locked Vault</t>
  </si>
  <si>
    <t xml:space="preserve">0:33</t>
  </si>
  <si>
    <t xml:space="preserve">+2 restore from backup; +1 ask for help; 0 pay</t>
  </si>
  <si>
    <t xml:space="preserve">Wireshark demo</t>
  </si>
  <si>
    <t xml:space="preserve">0:39</t>
  </si>
  <si>
    <t xml:space="preserve">+1 for explaining the difference; +2 catching your mistake</t>
  </si>
  <si>
    <t xml:space="preserve">Masked Messengers</t>
  </si>
  <si>
    <t xml:space="preserve">0:48</t>
  </si>
  <si>
    <t xml:space="preserve">+1 per right call; +1 for naming the clue</t>
  </si>
  <si>
    <t xml:space="preserve">Count the Open Gates</t>
  </si>
  <si>
    <t xml:space="preserve">0:55</t>
  </si>
  <si>
    <t xml:space="preserve">+2 first bingo; +1 each extra bingo</t>
  </si>
  <si>
    <t xml:space="preserve">Herald Dispatch</t>
  </si>
  <si>
    <t xml:space="preserve">0:57</t>
  </si>
  <si>
    <t xml:space="preserve">+2 winning reporter; +1 correct cause</t>
  </si>
  <si>
    <t xml:space="preserve">Passphrase Forge</t>
  </si>
  <si>
    <t xml:space="preserve">1:23</t>
  </si>
  <si>
    <t xml:space="preserve">+2 longest random passphrase; +1 names a password rule</t>
  </si>
  <si>
    <t xml:space="preserve">Two-Key Rite (MFA)</t>
  </si>
  <si>
    <t xml:space="preserve">1:28</t>
  </si>
  <si>
    <t xml:space="preserve">+2 first lodge fully verified; +1 second</t>
  </si>
  <si>
    <t xml:space="preserve">Shadow Watch</t>
  </si>
  <si>
    <t xml:space="preserve">1:37</t>
  </si>
  <si>
    <t xml:space="preserve">+1 per clue answered first</t>
  </si>
  <si>
    <t xml:space="preserve">Sealed Scroll match-up</t>
  </si>
  <si>
    <t xml:space="preserve">1:41</t>
  </si>
  <si>
    <t xml:space="preserve">+1 per correct pair and type</t>
  </si>
  <si>
    <t xml:space="preserve">Hashing: Press the Seal</t>
  </si>
  <si>
    <t xml:space="preserve">2:02</t>
  </si>
  <si>
    <t xml:space="preserve">+2 worksheet complete; +3 first to find the tampered document; +1 each other lodge; +1 hash vs encryption</t>
  </si>
  <si>
    <t xml:space="preserve">Cyber Threat Defender</t>
  </si>
  <si>
    <t xml:space="preserve">2:14</t>
  </si>
  <si>
    <t xml:space="preserve">1st +5; 2nd +3; 3rd +1; +1 per Warden who explains a defense card</t>
  </si>
  <si>
    <t xml:space="preserve">Connected Device Draft</t>
  </si>
  <si>
    <t xml:space="preserve">2:44</t>
  </si>
  <si>
    <t xml:space="preserve">+3 longest unique list; +1 per Warden with four devices</t>
  </si>
  <si>
    <t xml:space="preserve">Bonus: teamwork and catch-up</t>
  </si>
  <si>
    <t xml:space="preserve">any time</t>
  </si>
  <si>
    <t xml:space="preserve">Instructor's choice. Use a small bonus to help a lodge that is far behind</t>
  </si>
  <si>
    <t xml:space="preserve">TOTAL</t>
  </si>
  <si>
    <t xml:space="preserve">Rank</t>
  </si>
  <si>
    <t xml:space="preserve">Tie-break helper (do not edit)</t>
  </si>
  <si>
    <t xml:space="preserve">CYBER PATROL CUP</t>
  </si>
  <si>
    <t xml:space="preserve">Live standings. Put this tab on the projector between activities. Ties show in column order; settle a tie with a bonus question.</t>
  </si>
  <si>
    <t xml:space="preserve">Place</t>
  </si>
  <si>
    <t xml:space="preserve">Lodge</t>
  </si>
  <si>
    <t xml:space="preserve">Points</t>
  </si>
  <si>
    <t xml:space="preserve">1st</t>
  </si>
  <si>
    <t xml:space="preserve">2nd</t>
  </si>
  <si>
    <t xml:space="preserve">3rd</t>
  </si>
  <si>
    <t xml:space="preserve">4th</t>
  </si>
  <si>
    <t xml:space="preserve">5th</t>
  </si>
  <si>
    <t xml:space="preserve">6th</t>
  </si>
  <si>
    <t xml:space="preserve">Prizes and awards</t>
  </si>
  <si>
    <t xml:space="preserve">Assumption: planning for 25 Wardens in 6 lodges of 4-5 (you expect up to 20, so this leaves spare). Change the yellow cells in column B (Wardens) and the quantities and unit costs; all costs are rough estimates, not quotes. Everyone leaves with something, and the trophy passes between lodges.</t>
  </si>
  <si>
    <t xml:space="preserve">Wardens in class</t>
  </si>
  <si>
    <t xml:space="preserve">Wardens in the winning lodge</t>
  </si>
  <si>
    <t xml:space="preserve">Award</t>
  </si>
  <si>
    <t xml:space="preserve">Goes to</t>
  </si>
  <si>
    <t xml:space="preserve">Prize idea</t>
  </si>
  <si>
    <t xml:space="preserve">Quantity</t>
  </si>
  <si>
    <t xml:space="preserve">Unit cost ($, est.)</t>
  </si>
  <si>
    <t xml:space="preserve">Total ($)</t>
  </si>
  <si>
    <t xml:space="preserve">Notes</t>
  </si>
  <si>
    <t xml:space="preserve">Cyber Lodge Cup</t>
  </si>
  <si>
    <t xml:space="preserve">Winning lodge</t>
  </si>
  <si>
    <t xml:space="preserve">DIY padlock trophy: a spray-painted padlock on a wood block. It stays with the winning lodge until the next meeting</t>
  </si>
  <si>
    <t xml:space="preserve">Reusable. Add a small plaque or label for each winning lodge</t>
  </si>
  <si>
    <t xml:space="preserve">Cup winners</t>
  </si>
  <si>
    <t xml:space="preserve">Each Warden in the winning lodge</t>
  </si>
  <si>
    <t xml:space="preserve">Small prize each, such as a mini padlock keychain or a lanyard</t>
  </si>
  <si>
    <t xml:space="preserve">Keep it small and equal</t>
  </si>
  <si>
    <t xml:space="preserve">Participation</t>
  </si>
  <si>
    <t xml:space="preserve">Every Warden</t>
  </si>
  <si>
    <t xml:space="preserve">Cyber sticker or temporary tattoo</t>
  </si>
  <si>
    <t xml:space="preserve">Everyone gets one at the end</t>
  </si>
  <si>
    <t xml:space="preserve">Phish Finder</t>
  </si>
  <si>
    <t xml:space="preserve">Best phish spotter</t>
  </si>
  <si>
    <t xml:space="preserve">Certificate and a small item</t>
  </si>
  <si>
    <t xml:space="preserve">From Masked Messengers</t>
  </si>
  <si>
    <t xml:space="preserve">Top Detective</t>
  </si>
  <si>
    <t xml:space="preserve">First to find the tampered document</t>
  </si>
  <si>
    <t xml:space="preserve">From Hashing: Spot the Forgery</t>
  </si>
  <si>
    <t xml:space="preserve">Top Defender</t>
  </si>
  <si>
    <t xml:space="preserve">Highest Cyber Threat Defender score</t>
  </si>
  <si>
    <t xml:space="preserve">From Cyber Threat Defender</t>
  </si>
  <si>
    <t xml:space="preserve">Teamwork Award</t>
  </si>
  <si>
    <t xml:space="preserve">Most helpful lodge</t>
  </si>
  <si>
    <t xml:space="preserve">Awarded for helping others</t>
  </si>
  <si>
    <t xml:space="preserve">Password Pro</t>
  </si>
  <si>
    <t xml:space="preserve">Strongest passphrase</t>
  </si>
  <si>
    <t xml:space="preserve">From Passphrase Forge</t>
  </si>
  <si>
    <t xml:space="preserve">Estimated total</t>
  </si>
</sst>
</file>

<file path=xl/styles.xml><?xml version="1.0" encoding="utf-8"?>
<styleSheet xmlns="http://schemas.openxmlformats.org/spreadsheetml/2006/main">
  <numFmts count="3">
    <numFmt numFmtId="164" formatCode="General"/>
    <numFmt numFmtId="165" formatCode="General"/>
    <numFmt numFmtId="166" formatCode="\$#,##0.00"/>
  </numFmts>
  <fonts count="25">
    <font>
      <sz val="11"/>
      <color theme="1"/>
      <name val="Calibri"/>
      <family val="2"/>
      <charset val="1"/>
    </font>
    <font>
      <sz val="10"/>
      <name val="Arial"/>
      <family val="0"/>
    </font>
    <font>
      <sz val="10"/>
      <name val="Arial"/>
      <family val="0"/>
    </font>
    <font>
      <sz val="10"/>
      <name val="Arial"/>
      <family val="0"/>
    </font>
    <font>
      <b val="true"/>
      <sz val="16"/>
      <color rgb="FF10222F"/>
      <name val="Arial"/>
      <family val="0"/>
      <charset val="1"/>
    </font>
    <font>
      <sz val="10"/>
      <color rgb="FF5E7482"/>
      <name val="Arial"/>
      <family val="0"/>
      <charset val="1"/>
    </font>
    <font>
      <b val="true"/>
      <sz val="11"/>
      <color rgb="FFFFFFFF"/>
      <name val="Arial"/>
      <family val="0"/>
      <charset val="1"/>
    </font>
    <font>
      <b val="true"/>
      <sz val="11"/>
      <color rgb="FF10222F"/>
      <name val="Arial"/>
      <family val="0"/>
      <charset val="1"/>
    </font>
    <font>
      <b val="true"/>
      <sz val="10"/>
      <name val="Arial"/>
      <family val="0"/>
      <charset val="1"/>
    </font>
    <font>
      <sz val="10"/>
      <name val="Arial"/>
      <family val="0"/>
      <charset val="1"/>
    </font>
    <font>
      <sz val="11"/>
      <color rgb="FF0000FF"/>
      <name val="Arial"/>
      <family val="0"/>
      <charset val="1"/>
    </font>
    <font>
      <b val="true"/>
      <sz val="14"/>
      <color rgb="FF10222F"/>
      <name val="Arial"/>
      <family val="0"/>
      <charset val="1"/>
    </font>
    <font>
      <b val="true"/>
      <sz val="12"/>
      <color rgb="FF0B7A6C"/>
      <name val="Arial"/>
      <family val="0"/>
      <charset val="1"/>
    </font>
    <font>
      <sz val="9"/>
      <color rgb="FF8A98A0"/>
      <name val="Arial"/>
      <family val="0"/>
      <charset val="1"/>
    </font>
    <font>
      <sz val="10"/>
      <name val="Arial"/>
      <family val="2"/>
    </font>
    <font>
      <b val="true"/>
      <sz val="28"/>
      <color rgb="FF10222F"/>
      <name val="Arial"/>
      <family val="0"/>
      <charset val="1"/>
    </font>
    <font>
      <sz val="11"/>
      <color rgb="FF5E7482"/>
      <name val="Arial"/>
      <family val="0"/>
      <charset val="1"/>
    </font>
    <font>
      <b val="true"/>
      <sz val="14"/>
      <color rgb="FFFFFFFF"/>
      <name val="Arial"/>
      <family val="0"/>
      <charset val="1"/>
    </font>
    <font>
      <b val="true"/>
      <sz val="26"/>
      <color rgb="FF10222F"/>
      <name val="Arial"/>
      <family val="0"/>
      <charset val="1"/>
    </font>
    <font>
      <b val="true"/>
      <sz val="22"/>
      <color rgb="FF10222F"/>
      <name val="Arial"/>
      <family val="0"/>
      <charset val="1"/>
    </font>
    <font>
      <b val="true"/>
      <sz val="11"/>
      <name val="Arial"/>
      <family val="0"/>
      <charset val="1"/>
    </font>
    <font>
      <b val="true"/>
      <sz val="11"/>
      <color rgb="FF0000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s>
  <fills count="8">
    <fill>
      <patternFill patternType="none"/>
    </fill>
    <fill>
      <patternFill patternType="gray125"/>
    </fill>
    <fill>
      <patternFill patternType="solid">
        <fgColor rgb="FF10222F"/>
        <bgColor rgb="FF333333"/>
      </patternFill>
    </fill>
    <fill>
      <patternFill patternType="solid">
        <fgColor rgb="FFFFF4D6"/>
        <bgColor rgb="FFEAF2F0"/>
      </patternFill>
    </fill>
    <fill>
      <patternFill patternType="solid">
        <fgColor rgb="FFEAF2F0"/>
        <bgColor rgb="FFFFF4D6"/>
      </patternFill>
    </fill>
    <fill>
      <patternFill patternType="solid">
        <fgColor rgb="FFF4B63F"/>
        <bgColor rgb="FFFF9900"/>
      </patternFill>
    </fill>
    <fill>
      <patternFill patternType="solid">
        <fgColor rgb="FFFFFFFF"/>
        <bgColor rgb="FFFFF4D6"/>
      </patternFill>
    </fill>
    <fill>
      <patternFill patternType="solid">
        <fgColor rgb="FF0B7A6C"/>
        <bgColor rgb="FF008080"/>
      </patternFill>
    </fill>
  </fills>
  <borders count="2">
    <border diagonalUp="false" diagonalDown="false">
      <left/>
      <right/>
      <top/>
      <bottom/>
      <diagonal/>
    </border>
    <border diagonalUp="false" diagonalDown="false">
      <left style="thin">
        <color rgb="FFB8C4C9"/>
      </left>
      <right style="thin">
        <color rgb="FFB8C4C9"/>
      </right>
      <top style="thin">
        <color rgb="FFB8C4C9"/>
      </top>
      <bottom style="thin">
        <color rgb="FFB8C4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0"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xf numFmtId="164" fontId="18" fillId="5" borderId="1" xfId="0" applyFont="true" applyBorder="true" applyAlignment="true" applyProtection="false">
      <alignment horizontal="left" vertical="center" textRotation="0" wrapText="false" indent="0" shrinkToFit="false"/>
      <protection locked="true" hidden="false"/>
    </xf>
    <xf numFmtId="165" fontId="18" fillId="5"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left" vertical="center" textRotation="0" wrapText="false" indent="0" shrinkToFit="false"/>
      <protection locked="true" hidden="false"/>
    </xf>
    <xf numFmtId="165" fontId="19" fillId="4" borderId="1"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left" vertical="center" textRotation="0" wrapText="false" indent="0" shrinkToFit="false"/>
      <protection locked="true" hidden="false"/>
    </xf>
    <xf numFmtId="165" fontId="19" fillId="6"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3"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center"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3" borderId="1" xfId="0" applyFont="true" applyBorder="true" applyAlignment="true" applyProtection="false">
      <alignment horizontal="center" vertical="top" textRotation="0" wrapText="false" indent="0" shrinkToFit="false"/>
      <protection locked="true" hidden="false"/>
    </xf>
    <xf numFmtId="166" fontId="24" fillId="3" borderId="1" xfId="0" applyFont="true" applyBorder="true" applyAlignment="true" applyProtection="false">
      <alignment horizontal="center" vertical="top" textRotation="0" wrapText="false" indent="0" shrinkToFit="false"/>
      <protection locked="true" hidden="false"/>
    </xf>
    <xf numFmtId="166"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23" fillId="3" borderId="1" xfId="0" applyFont="true" applyBorder="true" applyAlignment="true" applyProtection="false">
      <alignment horizontal="center" vertical="top"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6" fontId="20"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7A6C"/>
      <rgbColor rgb="FFB8C4C9"/>
      <rgbColor rgb="FF808080"/>
      <rgbColor rgb="FF9999FF"/>
      <rgbColor rgb="FF993366"/>
      <rgbColor rgb="FFFFF4D6"/>
      <rgbColor rgb="FFEAF2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4B63F"/>
      <rgbColor rgb="FFFF9900"/>
      <rgbColor rgb="FFFF6600"/>
      <rgbColor rgb="FF5E7482"/>
      <rgbColor rgb="FF8A98A0"/>
      <rgbColor rgb="FF003366"/>
      <rgbColor rgb="FF339966"/>
      <rgbColor rgb="FF10222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52"/>
    <col collapsed="false" customWidth="true" hidden="false" outlineLevel="0" max="9" min="4" style="0" width="11"/>
  </cols>
  <sheetData>
    <row r="1" customFormat="false" ht="19.7" hidden="false" customHeight="false" outlineLevel="0" collapsed="false">
      <c r="A1" s="1" t="s">
        <v>0</v>
      </c>
    </row>
    <row r="2" customFormat="false" ht="43.5" hidden="false" customHeight="true" outlineLevel="0" collapsed="false">
      <c r="A2" s="2" t="s">
        <v>1</v>
      </c>
      <c r="B2" s="2"/>
      <c r="C2" s="2"/>
      <c r="D2" s="2"/>
      <c r="E2" s="2"/>
      <c r="F2" s="2"/>
      <c r="G2" s="2"/>
      <c r="H2" s="2"/>
      <c r="I2" s="2"/>
    </row>
    <row r="4" customFormat="false" ht="27.75" hidden="false" customHeight="true" outlineLevel="0" collapsed="false">
      <c r="A4" s="3" t="s">
        <v>2</v>
      </c>
      <c r="B4" s="3" t="s">
        <v>3</v>
      </c>
      <c r="C4" s="3" t="s">
        <v>4</v>
      </c>
      <c r="D4" s="4" t="s">
        <v>5</v>
      </c>
      <c r="E4" s="4" t="s">
        <v>6</v>
      </c>
      <c r="F4" s="4" t="s">
        <v>7</v>
      </c>
      <c r="G4" s="4" t="s">
        <v>8</v>
      </c>
      <c r="H4" s="4" t="s">
        <v>9</v>
      </c>
      <c r="I4" s="4" t="s">
        <v>10</v>
      </c>
    </row>
    <row r="5" customFormat="false" ht="30" hidden="false" customHeight="true" outlineLevel="0" collapsed="false">
      <c r="A5" s="5" t="s">
        <v>11</v>
      </c>
      <c r="B5" s="6" t="s">
        <v>12</v>
      </c>
      <c r="C5" s="6" t="s">
        <v>13</v>
      </c>
      <c r="D5" s="7" t="n">
        <v>3</v>
      </c>
      <c r="E5" s="7" t="n">
        <v>2</v>
      </c>
      <c r="F5" s="7" t="n">
        <v>4</v>
      </c>
      <c r="G5" s="7" t="n">
        <v>1</v>
      </c>
      <c r="H5" s="7"/>
      <c r="I5" s="7"/>
    </row>
    <row r="6" customFormat="false" ht="30" hidden="false" customHeight="true" outlineLevel="0" collapsed="false">
      <c r="A6" s="8" t="s">
        <v>14</v>
      </c>
      <c r="B6" s="9" t="s">
        <v>15</v>
      </c>
      <c r="C6" s="9" t="s">
        <v>16</v>
      </c>
      <c r="D6" s="7"/>
      <c r="E6" s="7"/>
      <c r="F6" s="7"/>
      <c r="G6" s="7"/>
      <c r="H6" s="7"/>
      <c r="I6" s="7"/>
    </row>
    <row r="7" customFormat="false" ht="30" hidden="false" customHeight="true" outlineLevel="0" collapsed="false">
      <c r="A7" s="5" t="s">
        <v>17</v>
      </c>
      <c r="B7" s="6" t="s">
        <v>18</v>
      </c>
      <c r="C7" s="6" t="s">
        <v>19</v>
      </c>
      <c r="D7" s="7"/>
      <c r="E7" s="7"/>
      <c r="F7" s="7"/>
      <c r="G7" s="7"/>
      <c r="H7" s="7"/>
      <c r="I7" s="7"/>
    </row>
    <row r="8" customFormat="false" ht="30" hidden="false" customHeight="true" outlineLevel="0" collapsed="false">
      <c r="A8" s="8" t="s">
        <v>20</v>
      </c>
      <c r="B8" s="9" t="s">
        <v>21</v>
      </c>
      <c r="C8" s="9" t="s">
        <v>22</v>
      </c>
      <c r="D8" s="7"/>
      <c r="E8" s="7"/>
      <c r="F8" s="7"/>
      <c r="G8" s="7"/>
      <c r="H8" s="7"/>
      <c r="I8" s="7"/>
    </row>
    <row r="9" customFormat="false" ht="30" hidden="false" customHeight="true" outlineLevel="0" collapsed="false">
      <c r="A9" s="5" t="s">
        <v>23</v>
      </c>
      <c r="B9" s="6" t="s">
        <v>24</v>
      </c>
      <c r="C9" s="6" t="s">
        <v>25</v>
      </c>
      <c r="D9" s="7"/>
      <c r="E9" s="7"/>
      <c r="F9" s="7"/>
      <c r="G9" s="7"/>
      <c r="H9" s="7"/>
      <c r="I9" s="7"/>
    </row>
    <row r="10" customFormat="false" ht="30" hidden="false" customHeight="true" outlineLevel="0" collapsed="false">
      <c r="A10" s="8" t="s">
        <v>26</v>
      </c>
      <c r="B10" s="9" t="s">
        <v>27</v>
      </c>
      <c r="C10" s="9" t="s">
        <v>28</v>
      </c>
      <c r="D10" s="7"/>
      <c r="E10" s="7"/>
      <c r="F10" s="7"/>
      <c r="G10" s="7"/>
      <c r="H10" s="7"/>
      <c r="I10" s="7"/>
    </row>
    <row r="11" customFormat="false" ht="30" hidden="false" customHeight="true" outlineLevel="0" collapsed="false">
      <c r="A11" s="5" t="s">
        <v>29</v>
      </c>
      <c r="B11" s="6" t="s">
        <v>30</v>
      </c>
      <c r="C11" s="6" t="s">
        <v>31</v>
      </c>
      <c r="D11" s="7"/>
      <c r="E11" s="7"/>
      <c r="F11" s="7"/>
      <c r="G11" s="7"/>
      <c r="H11" s="7"/>
      <c r="I11" s="7"/>
    </row>
    <row r="12" customFormat="false" ht="30" hidden="false" customHeight="true" outlineLevel="0" collapsed="false">
      <c r="A12" s="8" t="s">
        <v>32</v>
      </c>
      <c r="B12" s="9" t="s">
        <v>33</v>
      </c>
      <c r="C12" s="9" t="s">
        <v>34</v>
      </c>
      <c r="D12" s="7"/>
      <c r="E12" s="7"/>
      <c r="F12" s="7"/>
      <c r="G12" s="7"/>
      <c r="H12" s="7"/>
      <c r="I12" s="7"/>
    </row>
    <row r="13" customFormat="false" ht="30" hidden="false" customHeight="true" outlineLevel="0" collapsed="false">
      <c r="A13" s="5" t="s">
        <v>35</v>
      </c>
      <c r="B13" s="6" t="s">
        <v>36</v>
      </c>
      <c r="C13" s="6" t="s">
        <v>37</v>
      </c>
      <c r="D13" s="7"/>
      <c r="E13" s="7"/>
      <c r="F13" s="7"/>
      <c r="G13" s="7"/>
      <c r="H13" s="7"/>
      <c r="I13" s="7"/>
    </row>
    <row r="14" customFormat="false" ht="30" hidden="false" customHeight="true" outlineLevel="0" collapsed="false">
      <c r="A14" s="8" t="s">
        <v>38</v>
      </c>
      <c r="B14" s="9" t="s">
        <v>39</v>
      </c>
      <c r="C14" s="9" t="s">
        <v>40</v>
      </c>
      <c r="D14" s="7"/>
      <c r="E14" s="7"/>
      <c r="F14" s="7"/>
      <c r="G14" s="7"/>
      <c r="H14" s="7"/>
      <c r="I14" s="7"/>
    </row>
    <row r="15" customFormat="false" ht="30" hidden="false" customHeight="true" outlineLevel="0" collapsed="false">
      <c r="A15" s="5" t="s">
        <v>41</v>
      </c>
      <c r="B15" s="6" t="s">
        <v>42</v>
      </c>
      <c r="C15" s="6" t="s">
        <v>43</v>
      </c>
      <c r="D15" s="7"/>
      <c r="E15" s="7"/>
      <c r="F15" s="7"/>
      <c r="G15" s="7"/>
      <c r="H15" s="7"/>
      <c r="I15" s="7"/>
    </row>
    <row r="16" customFormat="false" ht="30" hidden="false" customHeight="true" outlineLevel="0" collapsed="false">
      <c r="A16" s="8" t="s">
        <v>44</v>
      </c>
      <c r="B16" s="9" t="s">
        <v>45</v>
      </c>
      <c r="C16" s="9" t="s">
        <v>46</v>
      </c>
      <c r="D16" s="7"/>
      <c r="E16" s="7"/>
      <c r="F16" s="7"/>
      <c r="G16" s="7"/>
      <c r="H16" s="7"/>
      <c r="I16" s="7"/>
    </row>
    <row r="17" customFormat="false" ht="30" hidden="false" customHeight="true" outlineLevel="0" collapsed="false">
      <c r="A17" s="5" t="s">
        <v>47</v>
      </c>
      <c r="B17" s="6" t="s">
        <v>48</v>
      </c>
      <c r="C17" s="6" t="s">
        <v>49</v>
      </c>
      <c r="D17" s="7"/>
      <c r="E17" s="7"/>
      <c r="F17" s="7"/>
      <c r="G17" s="7"/>
      <c r="H17" s="7"/>
      <c r="I17" s="7"/>
    </row>
    <row r="18" customFormat="false" ht="30" hidden="false" customHeight="true" outlineLevel="0" collapsed="false">
      <c r="A18" s="8" t="s">
        <v>50</v>
      </c>
      <c r="B18" s="9" t="s">
        <v>51</v>
      </c>
      <c r="C18" s="9" t="s">
        <v>52</v>
      </c>
      <c r="D18" s="7"/>
      <c r="E18" s="7"/>
      <c r="F18" s="7"/>
      <c r="G18" s="7"/>
      <c r="H18" s="7"/>
      <c r="I18" s="7"/>
    </row>
    <row r="19" customFormat="false" ht="30" hidden="false" customHeight="true" outlineLevel="0" collapsed="false">
      <c r="A19" s="5" t="s">
        <v>53</v>
      </c>
      <c r="B19" s="6" t="s">
        <v>54</v>
      </c>
      <c r="C19" s="6" t="s">
        <v>55</v>
      </c>
      <c r="D19" s="7"/>
      <c r="E19" s="7"/>
      <c r="F19" s="7"/>
      <c r="G19" s="7"/>
      <c r="H19" s="7"/>
      <c r="I19" s="7"/>
    </row>
    <row r="20" customFormat="false" ht="30" hidden="false" customHeight="true" outlineLevel="0" collapsed="false">
      <c r="A20" s="8" t="s">
        <v>56</v>
      </c>
      <c r="B20" s="9" t="s">
        <v>57</v>
      </c>
      <c r="C20" s="9" t="s">
        <v>58</v>
      </c>
      <c r="D20" s="7"/>
      <c r="E20" s="7"/>
      <c r="F20" s="7"/>
      <c r="G20" s="7"/>
      <c r="H20" s="7"/>
      <c r="I20" s="7"/>
    </row>
    <row r="21" customFormat="false" ht="25.5" hidden="false" customHeight="true" outlineLevel="0" collapsed="false">
      <c r="A21" s="10" t="s">
        <v>59</v>
      </c>
      <c r="B21" s="10"/>
      <c r="C21" s="10"/>
      <c r="D21" s="11" t="n">
        <f aca="false">IF(D$4="","",SUM(D5:D20))</f>
        <v>3</v>
      </c>
      <c r="E21" s="11" t="n">
        <f aca="false">IF(E$4="","",SUM(E5:E20))</f>
        <v>2</v>
      </c>
      <c r="F21" s="11" t="n">
        <f aca="false">IF(F$4="","",SUM(F5:F20))</f>
        <v>4</v>
      </c>
      <c r="G21" s="11" t="n">
        <f aca="false">IF(G$4="","",SUM(G5:G20))</f>
        <v>1</v>
      </c>
      <c r="H21" s="11" t="n">
        <f aca="false">IF(H$4="","",SUM(H5:H20))</f>
        <v>0</v>
      </c>
      <c r="I21" s="11" t="n">
        <f aca="false">IF(I$4="","",SUM(I5:I20))</f>
        <v>0</v>
      </c>
    </row>
    <row r="22" customFormat="false" ht="15" hidden="false" customHeight="false" outlineLevel="0" collapsed="false">
      <c r="A22" s="12" t="s">
        <v>60</v>
      </c>
      <c r="B22" s="12"/>
      <c r="C22" s="12"/>
      <c r="D22" s="13" t="n">
        <f aca="false">IF(D$4="","",RANK(D21,$D21:$I21))</f>
        <v>2</v>
      </c>
      <c r="E22" s="13" t="n">
        <f aca="false">IF(E$4="","",RANK(E21,$D21:$I21))</f>
        <v>3</v>
      </c>
      <c r="F22" s="13" t="n">
        <f aca="false">IF(F$4="","",RANK(F21,$D21:$I21))</f>
        <v>1</v>
      </c>
      <c r="G22" s="13" t="n">
        <f aca="false">IF(G$4="","",RANK(G21,$D21:$I21))</f>
        <v>4</v>
      </c>
      <c r="H22" s="13" t="n">
        <f aca="false">IF(H$4="","",RANK(H21,$D21:$I21))</f>
        <v>5</v>
      </c>
      <c r="I22" s="13" t="n">
        <f aca="false">IF(I$4="","",RANK(I21,$D21:$I21))</f>
        <v>5</v>
      </c>
    </row>
    <row r="23" customFormat="false" ht="15" hidden="false" customHeight="false" outlineLevel="0" collapsed="false">
      <c r="A23" s="14" t="s">
        <v>61</v>
      </c>
      <c r="B23" s="14"/>
      <c r="C23" s="14"/>
      <c r="D23" s="15" t="n">
        <f aca="false">IF(D$4="","",D21+(7-COLUMNS($D4:D4))/100)</f>
        <v>3.06</v>
      </c>
      <c r="E23" s="15" t="n">
        <f aca="false">IF(E$4="","",E21+(7-COLUMNS($D4:E4))/100)</f>
        <v>2.05</v>
      </c>
      <c r="F23" s="15" t="n">
        <f aca="false">IF(F$4="","",F21+(7-COLUMNS($D4:F4))/100)</f>
        <v>4.04</v>
      </c>
      <c r="G23" s="15" t="n">
        <f aca="false">IF(G$4="","",G21+(7-COLUMNS($D4:G4))/100)</f>
        <v>1.03</v>
      </c>
      <c r="H23" s="15" t="n">
        <f aca="false">IF(H$4="","",H21+(7-COLUMNS($D4:H4))/100)</f>
        <v>0.02</v>
      </c>
      <c r="I23" s="15" t="n">
        <f aca="false">IF(I$4="","",I21+(7-COLUMNS($D4:I4))/100)</f>
        <v>0.01</v>
      </c>
    </row>
  </sheetData>
  <mergeCells count="1">
    <mergeCell ref="A2:I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22"/>
  </cols>
  <sheetData>
    <row r="1" customFormat="false" ht="33.85" hidden="false" customHeight="false" outlineLevel="0" collapsed="false">
      <c r="A1" s="16" t="s">
        <v>62</v>
      </c>
    </row>
    <row r="2" customFormat="false" ht="15" hidden="false" customHeight="false" outlineLevel="0" collapsed="false">
      <c r="A2" s="17" t="s">
        <v>63</v>
      </c>
    </row>
    <row r="4" customFormat="false" ht="27.75" hidden="false" customHeight="true" outlineLevel="0" collapsed="false">
      <c r="A4" s="18" t="s">
        <v>64</v>
      </c>
      <c r="B4" s="19" t="s">
        <v>65</v>
      </c>
      <c r="C4" s="18" t="s">
        <v>66</v>
      </c>
      <c r="D4" s="18"/>
    </row>
    <row r="5" customFormat="false" ht="49.5" hidden="false" customHeight="true" outlineLevel="0" collapsed="false">
      <c r="A5" s="20" t="s">
        <v>67</v>
      </c>
      <c r="B5" s="21" t="str">
        <f aca="false">IFERROR(INDEX(Scoreboard!$D$4:$I$4,MATCH(LARGE(Scoreboard!$D$23:$I$23,1),Scoreboard!$D$23:$I$23,0)),"")</f>
        <v>Lodge 3</v>
      </c>
      <c r="C5" s="22" t="n">
        <f aca="false">IFERROR(INT(LARGE(Scoreboard!$D$23:$I$23,1)),"")</f>
        <v>4</v>
      </c>
    </row>
    <row r="6" customFormat="false" ht="49.5" hidden="false" customHeight="true" outlineLevel="0" collapsed="false">
      <c r="A6" s="23" t="s">
        <v>68</v>
      </c>
      <c r="B6" s="24" t="str">
        <f aca="false">IFERROR(INDEX(Scoreboard!$D$4:$I$4,MATCH(LARGE(Scoreboard!$D$23:$I$23,2),Scoreboard!$D$23:$I$23,0)),"")</f>
        <v>Lodge 1</v>
      </c>
      <c r="C6" s="25" t="n">
        <f aca="false">IFERROR(INT(LARGE(Scoreboard!$D$23:$I$23,2)),"")</f>
        <v>3</v>
      </c>
    </row>
    <row r="7" customFormat="false" ht="49.5" hidden="false" customHeight="true" outlineLevel="0" collapsed="false">
      <c r="A7" s="26" t="s">
        <v>69</v>
      </c>
      <c r="B7" s="27" t="str">
        <f aca="false">IFERROR(INDEX(Scoreboard!$D$4:$I$4,MATCH(LARGE(Scoreboard!$D$23:$I$23,3),Scoreboard!$D$23:$I$23,0)),"")</f>
        <v>Lodge 2</v>
      </c>
      <c r="C7" s="28" t="n">
        <f aca="false">IFERROR(INT(LARGE(Scoreboard!$D$23:$I$23,3)),"")</f>
        <v>2</v>
      </c>
    </row>
    <row r="8" customFormat="false" ht="49.5" hidden="false" customHeight="true" outlineLevel="0" collapsed="false">
      <c r="A8" s="23" t="s">
        <v>70</v>
      </c>
      <c r="B8" s="24" t="str">
        <f aca="false">IFERROR(INDEX(Scoreboard!$D$4:$I$4,MATCH(LARGE(Scoreboard!$D$23:$I$23,4),Scoreboard!$D$23:$I$23,0)),"")</f>
        <v>Lodge 4</v>
      </c>
      <c r="C8" s="25" t="n">
        <f aca="false">IFERROR(INT(LARGE(Scoreboard!$D$23:$I$23,4)),"")</f>
        <v>1</v>
      </c>
    </row>
    <row r="9" customFormat="false" ht="49.5" hidden="false" customHeight="true" outlineLevel="0" collapsed="false">
      <c r="A9" s="26" t="s">
        <v>71</v>
      </c>
      <c r="B9" s="27" t="str">
        <f aca="false">IFERROR(INDEX(Scoreboard!$D$4:$I$4,MATCH(LARGE(Scoreboard!$D$23:$I$23,5),Scoreboard!$D$23:$I$23,0)),"")</f>
        <v>Lodge 5</v>
      </c>
      <c r="C9" s="28" t="n">
        <f aca="false">IFERROR(INT(LARGE(Scoreboard!$D$23:$I$23,5)),"")</f>
        <v>0</v>
      </c>
    </row>
    <row r="10" customFormat="false" ht="49.5" hidden="false" customHeight="true" outlineLevel="0" collapsed="false">
      <c r="A10" s="23" t="s">
        <v>72</v>
      </c>
      <c r="B10" s="24" t="str">
        <f aca="false">IFERROR(INDEX(Scoreboard!$D$4:$I$4,MATCH(LARGE(Scoreboard!$D$23:$I$23,6),Scoreboard!$D$23:$I$23,0)),"")</f>
        <v>Lodge 6</v>
      </c>
      <c r="C10" s="25" t="n">
        <f aca="false">IFERROR(INT(LARGE(Scoreboard!$D$23:$I$23,6)),"")</f>
        <v>0</v>
      </c>
    </row>
  </sheetData>
  <conditionalFormatting sqref="C5:C10">
    <cfRule type="dataBar" priority="2">
      <dataBar showValue="1" minLength="10" maxLength="90">
        <cfvo type="num" val="0"/>
        <cfvo type="max" val="0"/>
        <color rgb="FF0B7A6C"/>
      </dataBar>
      <extLst>
        <ext xmlns:x14="http://schemas.microsoft.com/office/spreadsheetml/2009/9/main" uri="{B025F937-C7B1-47D3-B67F-A62EFF666E3E}">
          <x14:id>{8F70E058-D381-4D1D-A64C-F85BEDA07730}</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F70E058-D381-4D1D-A64C-F85BEDA07730}">
            <x14:dataBar minLength="10" maxLength="90" axisPosition="none" gradient="true">
              <x14:cfvo type="num">
                <xm:f>0</xm:f>
              </x14:cfvo>
              <x14:cfvo type="max"/>
              <x14:negativeFillColor rgb="FF0B7A6C"/>
              <x14:axisColor rgb="FF000000"/>
            </x14:dataBar>
          </x14:cfRule>
          <xm:sqref>C5:C10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52"/>
    <col collapsed="false" customWidth="true" hidden="false" outlineLevel="0" max="4" min="4" style="0" width="10"/>
    <col collapsed="false" customWidth="true" hidden="false" outlineLevel="0" max="5" min="5" style="0" width="14"/>
    <col collapsed="false" customWidth="true" hidden="false" outlineLevel="0" max="6" min="6" style="0" width="12"/>
    <col collapsed="false" customWidth="true" hidden="false" outlineLevel="0" max="7" min="7" style="0" width="38"/>
  </cols>
  <sheetData>
    <row r="1" customFormat="false" ht="19.7" hidden="false" customHeight="false" outlineLevel="0" collapsed="false">
      <c r="A1" s="1" t="s">
        <v>73</v>
      </c>
    </row>
    <row r="2" customFormat="false" ht="39.75" hidden="false" customHeight="true" outlineLevel="0" collapsed="false">
      <c r="A2" s="2" t="s">
        <v>74</v>
      </c>
      <c r="B2" s="2"/>
      <c r="C2" s="2"/>
      <c r="D2" s="2"/>
      <c r="E2" s="2"/>
      <c r="F2" s="2"/>
      <c r="G2" s="2"/>
    </row>
    <row r="4" customFormat="false" ht="15" hidden="false" customHeight="false" outlineLevel="0" collapsed="false">
      <c r="A4" s="29" t="s">
        <v>75</v>
      </c>
      <c r="B4" s="30" t="n">
        <v>25</v>
      </c>
    </row>
    <row r="5" customFormat="false" ht="15" hidden="false" customHeight="false" outlineLevel="0" collapsed="false">
      <c r="A5" s="29" t="s">
        <v>76</v>
      </c>
      <c r="B5" s="30" t="n">
        <v>5</v>
      </c>
    </row>
    <row r="7" customFormat="false" ht="26.85" hidden="false" customHeight="false" outlineLevel="0" collapsed="false">
      <c r="A7" s="31" t="s">
        <v>77</v>
      </c>
      <c r="B7" s="31" t="s">
        <v>78</v>
      </c>
      <c r="C7" s="31" t="s">
        <v>79</v>
      </c>
      <c r="D7" s="31" t="s">
        <v>80</v>
      </c>
      <c r="E7" s="31" t="s">
        <v>81</v>
      </c>
      <c r="F7" s="31" t="s">
        <v>82</v>
      </c>
      <c r="G7" s="31" t="s">
        <v>83</v>
      </c>
    </row>
    <row r="8" customFormat="false" ht="23.85" hidden="false" customHeight="false" outlineLevel="0" collapsed="false">
      <c r="A8" s="32" t="s">
        <v>84</v>
      </c>
      <c r="B8" s="33" t="s">
        <v>85</v>
      </c>
      <c r="C8" s="33" t="s">
        <v>86</v>
      </c>
      <c r="D8" s="34" t="n">
        <v>1</v>
      </c>
      <c r="E8" s="35" t="n">
        <v>6</v>
      </c>
      <c r="F8" s="36" t="n">
        <f aca="false">D8*E8</f>
        <v>6</v>
      </c>
      <c r="G8" s="37" t="s">
        <v>87</v>
      </c>
    </row>
    <row r="9" customFormat="false" ht="23.85" hidden="false" customHeight="false" outlineLevel="0" collapsed="false">
      <c r="A9" s="32" t="s">
        <v>88</v>
      </c>
      <c r="B9" s="33" t="s">
        <v>89</v>
      </c>
      <c r="C9" s="33" t="s">
        <v>90</v>
      </c>
      <c r="D9" s="38" t="n">
        <f aca="false">B5</f>
        <v>5</v>
      </c>
      <c r="E9" s="35" t="n">
        <v>1.5</v>
      </c>
      <c r="F9" s="36" t="n">
        <f aca="false">D9*E9</f>
        <v>7.5</v>
      </c>
      <c r="G9" s="37" t="s">
        <v>91</v>
      </c>
    </row>
    <row r="10" customFormat="false" ht="15" hidden="false" customHeight="false" outlineLevel="0" collapsed="false">
      <c r="A10" s="32" t="s">
        <v>92</v>
      </c>
      <c r="B10" s="33" t="s">
        <v>93</v>
      </c>
      <c r="C10" s="33" t="s">
        <v>94</v>
      </c>
      <c r="D10" s="38" t="n">
        <f aca="false">B4</f>
        <v>25</v>
      </c>
      <c r="E10" s="35" t="n">
        <v>0.5</v>
      </c>
      <c r="F10" s="36" t="n">
        <f aca="false">D10*E10</f>
        <v>12.5</v>
      </c>
      <c r="G10" s="37" t="s">
        <v>95</v>
      </c>
    </row>
    <row r="11" customFormat="false" ht="15" hidden="false" customHeight="false" outlineLevel="0" collapsed="false">
      <c r="A11" s="32" t="s">
        <v>96</v>
      </c>
      <c r="B11" s="33" t="s">
        <v>97</v>
      </c>
      <c r="C11" s="33" t="s">
        <v>98</v>
      </c>
      <c r="D11" s="34" t="n">
        <v>1</v>
      </c>
      <c r="E11" s="35" t="n">
        <v>1.5</v>
      </c>
      <c r="F11" s="36" t="n">
        <f aca="false">D11*E11</f>
        <v>1.5</v>
      </c>
      <c r="G11" s="37" t="s">
        <v>99</v>
      </c>
    </row>
    <row r="12" customFormat="false" ht="23.85" hidden="false" customHeight="false" outlineLevel="0" collapsed="false">
      <c r="A12" s="32" t="s">
        <v>100</v>
      </c>
      <c r="B12" s="33" t="s">
        <v>101</v>
      </c>
      <c r="C12" s="33" t="s">
        <v>98</v>
      </c>
      <c r="D12" s="34" t="n">
        <v>1</v>
      </c>
      <c r="E12" s="35" t="n">
        <v>1.5</v>
      </c>
      <c r="F12" s="36" t="n">
        <f aca="false">D12*E12</f>
        <v>1.5</v>
      </c>
      <c r="G12" s="37" t="s">
        <v>102</v>
      </c>
    </row>
    <row r="13" customFormat="false" ht="23.85" hidden="false" customHeight="false" outlineLevel="0" collapsed="false">
      <c r="A13" s="32" t="s">
        <v>103</v>
      </c>
      <c r="B13" s="33" t="s">
        <v>104</v>
      </c>
      <c r="C13" s="33" t="s">
        <v>98</v>
      </c>
      <c r="D13" s="34" t="n">
        <v>1</v>
      </c>
      <c r="E13" s="35" t="n">
        <v>1.5</v>
      </c>
      <c r="F13" s="36" t="n">
        <f aca="false">D13*E13</f>
        <v>1.5</v>
      </c>
      <c r="G13" s="37" t="s">
        <v>105</v>
      </c>
    </row>
    <row r="14" customFormat="false" ht="15" hidden="false" customHeight="false" outlineLevel="0" collapsed="false">
      <c r="A14" s="32" t="s">
        <v>106</v>
      </c>
      <c r="B14" s="33" t="s">
        <v>107</v>
      </c>
      <c r="C14" s="33" t="s">
        <v>98</v>
      </c>
      <c r="D14" s="34" t="n">
        <v>1</v>
      </c>
      <c r="E14" s="35" t="n">
        <v>1.5</v>
      </c>
      <c r="F14" s="36" t="n">
        <f aca="false">D14*E14</f>
        <v>1.5</v>
      </c>
      <c r="G14" s="37" t="s">
        <v>108</v>
      </c>
    </row>
    <row r="15" customFormat="false" ht="15" hidden="false" customHeight="false" outlineLevel="0" collapsed="false">
      <c r="A15" s="32" t="s">
        <v>109</v>
      </c>
      <c r="B15" s="33" t="s">
        <v>110</v>
      </c>
      <c r="C15" s="33" t="s">
        <v>98</v>
      </c>
      <c r="D15" s="34" t="n">
        <v>1</v>
      </c>
      <c r="E15" s="35" t="n">
        <v>1.5</v>
      </c>
      <c r="F15" s="36" t="n">
        <f aca="false">D15*E15</f>
        <v>1.5</v>
      </c>
      <c r="G15" s="37" t="s">
        <v>111</v>
      </c>
    </row>
    <row r="16" customFormat="false" ht="15" hidden="false" customHeight="false" outlineLevel="0" collapsed="false">
      <c r="E16" s="39" t="s">
        <v>112</v>
      </c>
      <c r="F16" s="40" t="n">
        <f aca="false">SUM(F8:F15)</f>
        <v>33.5</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2026-10-25T21:27:49Z</dcterms:created>
  <dc:creator>openpyxl</dc:creator>
  <dc:description/>
  <dc:language>en-US</dc:language>
  <cp:lastModifiedBy/>
  <dcterms:modified xsi:type="dcterms:W3CDTF">2026-10-25T21:27:49Z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