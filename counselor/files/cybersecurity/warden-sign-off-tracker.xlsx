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f5daf28026aad96/Documents/Boy Scouts/Cybersecurity Merit Badge/"/>
    </mc:Choice>
  </mc:AlternateContent>
  <xr:revisionPtr revIDLastSave="11" documentId="11_C121D67124201F61EB06205C705F05F6B69763C7" xr6:coauthVersionLast="47" xr6:coauthVersionMax="47" xr10:uidLastSave="{25489849-2290-4FEF-8F5B-22D0513FFA6B}"/>
  <bookViews>
    <workbookView xWindow="28680" yWindow="-120" windowWidth="29040" windowHeight="15720" tabRatio="500" xr2:uid="{00000000-000D-0000-FFFF-FFFF00000000}"/>
  </bookViews>
  <sheets>
    <sheet name="Tracker" sheetId="1" r:id="rId1"/>
    <sheet name="Requiremen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23" i="1" l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AB6" i="1"/>
  <c r="AA6" i="1"/>
  <c r="AC6" i="1" s="1"/>
</calcChain>
</file>

<file path=xl/sharedStrings.xml><?xml version="1.0" encoding="utf-8"?>
<sst xmlns="http://schemas.openxmlformats.org/spreadsheetml/2006/main" count="170" uniqueCount="122">
  <si>
    <t>Cybersecurity Merit Badge: Warden Sign-off Tracker</t>
  </si>
  <si>
    <t>How to use: type each Warden's name and lodge in columns A and B (delete the sample row first). In each requirement column, pick ✓ when you have signed it off, or P if it is partly done or owed at home. Leave blank if not yet done. Edit only the white cells; the Done, Partial and % columns calculate themselves. See the Requirements tab for what to check for each code.</t>
  </si>
  <si>
    <t>Warden name</t>
  </si>
  <si>
    <t>Lodge</t>
  </si>
  <si>
    <t>1 Safety</t>
  </si>
  <si>
    <t>2 Ethics</t>
  </si>
  <si>
    <t>3 Basics</t>
  </si>
  <si>
    <t>4 Threats</t>
  </si>
  <si>
    <t>5 Defenses</t>
  </si>
  <si>
    <t>6 Crypto</t>
  </si>
  <si>
    <t>7 IoT</t>
  </si>
  <si>
    <t>8 Event</t>
  </si>
  <si>
    <t>9 Jobs</t>
  </si>
  <si>
    <t>Done</t>
  </si>
  <si>
    <t>Partial</t>
  </si>
  <si>
    <t>% complete</t>
  </si>
  <si>
    <t>1a</t>
  </si>
  <si>
    <t>1b</t>
  </si>
  <si>
    <t>1c</t>
  </si>
  <si>
    <t>2a</t>
  </si>
  <si>
    <t>2b</t>
  </si>
  <si>
    <t>3a</t>
  </si>
  <si>
    <t>3b</t>
  </si>
  <si>
    <t>4a</t>
  </si>
  <si>
    <t>4b</t>
  </si>
  <si>
    <t>4c</t>
  </si>
  <si>
    <t>4d</t>
  </si>
  <si>
    <t>4e</t>
  </si>
  <si>
    <t>4f</t>
  </si>
  <si>
    <t>5a</t>
  </si>
  <si>
    <t>5b</t>
  </si>
  <si>
    <t>5c #1</t>
  </si>
  <si>
    <t>5c #2</t>
  </si>
  <si>
    <t>5c #3</t>
  </si>
  <si>
    <t>6a</t>
  </si>
  <si>
    <t>6b</t>
  </si>
  <si>
    <t>6c</t>
  </si>
  <si>
    <t>7</t>
  </si>
  <si>
    <t>8</t>
  </si>
  <si>
    <t>9</t>
  </si>
  <si>
    <t>Alex Sample</t>
  </si>
  <si>
    <t>Eagles</t>
  </si>
  <si>
    <t>✓</t>
  </si>
  <si>
    <t>P</t>
  </si>
  <si>
    <t>Wardens signed off on each requirement</t>
  </si>
  <si>
    <t>Yellow row is a sample. Delete it, or overwrite it with your first Warden.</t>
  </si>
  <si>
    <t>Requirements reference</t>
  </si>
  <si>
    <t>Paraphrased from the Scouting America page and a community breakdown. Always confirm the exact wording in Scoutbook.</t>
  </si>
  <si>
    <t>Code</t>
  </si>
  <si>
    <t>When it happens</t>
  </si>
  <si>
    <t>Requirement (paraphrased, check Scoutbook for the official wording)</t>
  </si>
  <si>
    <t>What to check before signing off</t>
  </si>
  <si>
    <t>Pre-work</t>
  </si>
  <si>
    <t>Watched the Personal Safety Awareness "Digital Safety" video with a parent or guardian's permission.</t>
  </si>
  <si>
    <t>Before class: parent or Warden confirms. Optional: note the date.</t>
  </si>
  <si>
    <t>Class: Hunt for Hidden Doors</t>
  </si>
  <si>
    <t>Explained how to protect a digital footprint on social media, apps and games, and showed privacy settings for personal information, photos and location.</t>
  </si>
  <si>
    <t>Warden found and showed settings on their own device.</t>
  </si>
  <si>
    <t>Class: Digital safety</t>
  </si>
  <si>
    <t>Discussed first aid and prevention for device injuries (eye strain, repetitive strain) and safe phone use while walking or biking.</t>
  </si>
  <si>
    <t>Warden names a first-aid step and a safe-use rule.</t>
  </si>
  <si>
    <t>Class: Scout Law</t>
  </si>
  <si>
    <t>Connected three points of the Scout Law to online and device activities.</t>
  </si>
  <si>
    <t>Three realistic examples.</t>
  </si>
  <si>
    <t>Class: Line of Oaths</t>
  </si>
  <si>
    <t>Discussed ethical and unethical online behavior (unlocked device, seen password, insecure website) and explained how judgment guides choices.</t>
  </si>
  <si>
    <t>Warden defended a spot on the line with a reason.</t>
  </si>
  <si>
    <t>Class: Fundamentals</t>
  </si>
  <si>
    <t>Described three types of computer systems that need protection and why.</t>
  </si>
  <si>
    <t>Three systems with reasons.</t>
  </si>
  <si>
    <t>Class: Three Pillars trial</t>
  </si>
  <si>
    <t>Explained the CIA Triad and why it matters.</t>
  </si>
  <si>
    <t>Defines all three letters with an example.</t>
  </si>
  <si>
    <t>Class: Threats</t>
  </si>
  <si>
    <t>Defined vulnerability, threat and exploit with an example of each for a website or software product they use.</t>
  </si>
  <si>
    <t>Three correct definitions and examples.</t>
  </si>
  <si>
    <t>Class: Locked Vault</t>
  </si>
  <si>
    <t>Chose one malware type (ransomware) and explained how it works, what it does and the harm.</t>
  </si>
  <si>
    <t>Explains the type, the harm and one defense.</t>
  </si>
  <si>
    <t>Class: Public Wi-Fi + Wireshark</t>
  </si>
  <si>
    <t>Identified two risks of public Wi-Fi and how to reduce or avoid them.</t>
  </si>
  <si>
    <t>Two risks, two fixes.</t>
  </si>
  <si>
    <t>Class: Masked Messengers</t>
  </si>
  <si>
    <t>Described spoofing and phishing, how to recognize them, and how to protect self and others.</t>
  </si>
  <si>
    <t>Names red flags and what to do.</t>
  </si>
  <si>
    <t>Class: Herald Dispatch</t>
  </si>
  <si>
    <t>Current events option: read about a recent incident and explained how it happened and the consequences for the victim.</t>
  </si>
  <si>
    <t>Gave the news report.</t>
  </si>
  <si>
    <t>Class: Count the Open Gates</t>
  </si>
  <si>
    <t>Created a list of their own cyber attack surface (every way someone could reach their information or devices).</t>
  </si>
  <si>
    <t>Written list on the back of the bingo card.</t>
  </si>
  <si>
    <t>Class: Defenses</t>
  </si>
  <si>
    <t>Described three technologies used to defend a computer or network.</t>
  </si>
  <si>
    <t>Three technologies and what each does.</t>
  </si>
  <si>
    <t>Class: Updates</t>
  </si>
  <si>
    <t>Explained why updates matter, then showed checking for and installing the latest updates and verified they were current (an online guide with screenshots is allowed if needed).</t>
  </si>
  <si>
    <t>Warden showed the update screen. Note if left to finish at home.</t>
  </si>
  <si>
    <t>Class: choose three tasks</t>
  </si>
  <si>
    <t>System security: three of the offered tasks, done with permission and discussed with the counselor. Record which task in the cell comment or the Notes column.</t>
  </si>
  <si>
    <t>Task a (strong password).</t>
  </si>
  <si>
    <t>Second system-security task.</t>
  </si>
  <si>
    <t>Task b (multi-factor authentication app).</t>
  </si>
  <si>
    <t>Third system-security task.</t>
  </si>
  <si>
    <t>Task e (view running processes).</t>
  </si>
  <si>
    <t>Class: Sealed Scroll match-up</t>
  </si>
  <si>
    <t>Researched three situations where encryption is used, with the type and why it matters.</t>
  </si>
  <si>
    <t>Three uses with types.</t>
  </si>
  <si>
    <t>Class: Is it encrypted?</t>
  </si>
  <si>
    <t>Showed how to tell whether a connection to a website is encrypted.</t>
  </si>
  <si>
    <t>Warden showed the https and site information icon.</t>
  </si>
  <si>
    <t>Class: Hashing Lab (Press the Seal)</t>
  </si>
  <si>
    <t>Used a hashing tool (SHA-256) to make a checksum of a message, had a teammate change it, recreated the checksum and compared to show file integrity checking.</t>
  </si>
  <si>
    <t>Completed Press the Seal worksheet with counselor initials.</t>
  </si>
  <si>
    <t>Class: Connected Device Draft</t>
  </si>
  <si>
    <t>Described four internet-connected devices: why connectivity helps, the risks, and how to protect each.</t>
  </si>
  <si>
    <t>Completed worksheet with four devices.</t>
  </si>
  <si>
    <t>Class: Cyber Threat Defender</t>
  </si>
  <si>
    <t>Take part in a counselor-approved competition (option 8b: Cyber Threat Defender from UTSA).</t>
  </si>
  <si>
    <t>Counselor approval recorded before class; Warden took part.</t>
  </si>
  <si>
    <t>Homework + class share</t>
  </si>
  <si>
    <t>Identified three cybersecurity careers, researched one (training, certifications, cost, outlook, pay, advancement) and discussed it.</t>
  </si>
  <si>
    <t>Career worksheet or short talk.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</si>
</sst>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0222F"/>
      <name val="Arial"/>
      <charset val="1"/>
    </font>
    <font>
      <sz val="10"/>
      <color rgb="FF5E7482"/>
      <name val="Arial"/>
      <charset val="1"/>
    </font>
    <font>
      <b/>
      <sz val="10"/>
      <color rgb="FFFFFFFF"/>
      <name val="Arial"/>
      <charset val="1"/>
    </font>
    <font>
      <sz val="11"/>
      <name val="Arial"/>
      <charset val="1"/>
    </font>
    <font>
      <b/>
      <sz val="10"/>
      <color rgb="FF10222F"/>
      <name val="Arial"/>
      <charset val="1"/>
    </font>
    <font>
      <i/>
      <sz val="9"/>
      <color rgb="FF5E7482"/>
      <name val="Arial"/>
      <charset val="1"/>
    </font>
    <font>
      <b/>
      <sz val="14"/>
      <color rgb="FF10222F"/>
      <name val="Arial"/>
      <charset val="1"/>
    </font>
    <font>
      <i/>
      <sz val="10"/>
      <color rgb="FF5E7482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0222F"/>
        <bgColor rgb="FF333333"/>
      </patternFill>
    </fill>
    <fill>
      <patternFill patternType="solid">
        <fgColor rgb="FF0B7A6C"/>
        <bgColor rgb="FF008080"/>
      </patternFill>
    </fill>
    <fill>
      <patternFill patternType="solid">
        <fgColor rgb="FFFFF4D6"/>
        <bgColor rgb="FFEAF2F0"/>
      </patternFill>
    </fill>
    <fill>
      <patternFill patternType="solid">
        <fgColor rgb="FFEAF2F0"/>
        <bgColor rgb="FFFFF4D6"/>
      </patternFill>
    </fill>
  </fills>
  <borders count="2">
    <border>
      <left/>
      <right/>
      <top/>
      <bottom/>
      <diagonal/>
    </border>
    <border>
      <left style="thin">
        <color rgb="FFB8C4C9"/>
      </left>
      <right style="thin">
        <color rgb="FFB8C4C9"/>
      </right>
      <top style="thin">
        <color rgb="FFB8C4C9"/>
      </top>
      <bottom style="thin">
        <color rgb="FFB8C4C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7A5200"/>
        <name val="Arial"/>
        <charset val="1"/>
      </font>
      <fill>
        <patternFill>
          <bgColor rgb="FFF9DD94"/>
        </patternFill>
      </fill>
    </dxf>
    <dxf>
      <font>
        <b/>
        <color rgb="FF1E6B2E"/>
        <name val="Arial"/>
        <charset val="1"/>
      </font>
      <fill>
        <patternFill>
          <bgColor rgb="FFBFE3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08000"/>
      <rgbColor rgb="FF800080"/>
      <rgbColor rgb="FF0B7A6C"/>
      <rgbColor rgb="FFB8C4C9"/>
      <rgbColor rgb="FF808080"/>
      <rgbColor rgb="FF9999FF"/>
      <rgbColor rgb="FF993366"/>
      <rgbColor rgb="FFFFF4D6"/>
      <rgbColor rgb="FFEA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C4"/>
      <rgbColor rgb="FFFFFF99"/>
      <rgbColor rgb="FF99CCFF"/>
      <rgbColor rgb="FFFF99CC"/>
      <rgbColor rgb="FFCC99FF"/>
      <rgbColor rgb="FFF9DD94"/>
      <rgbColor rgb="FF3366FF"/>
      <rgbColor rgb="FF33CCCC"/>
      <rgbColor rgb="FF99CC00"/>
      <rgbColor rgb="FFFFCC00"/>
      <rgbColor rgb="FFFF9900"/>
      <rgbColor rgb="FFFF6600"/>
      <rgbColor rgb="FF5E7482"/>
      <rgbColor rgb="FF969696"/>
      <rgbColor rgb="FF003366"/>
      <rgbColor rgb="FF339966"/>
      <rgbColor rgb="FF10222F"/>
      <rgbColor rgb="FF333300"/>
      <rgbColor rgb="FF7A52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4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Z6" sqref="Z6"/>
    </sheetView>
  </sheetViews>
  <sheetFormatPr defaultColWidth="8.7109375" defaultRowHeight="15" x14ac:dyDescent="0.25"/>
  <cols>
    <col min="1" max="1" width="24" customWidth="1"/>
    <col min="2" max="2" width="12" customWidth="1"/>
    <col min="3" max="26" width="6.140625" customWidth="1"/>
    <col min="27" max="27" width="7" customWidth="1"/>
    <col min="28" max="28" width="8" customWidth="1"/>
    <col min="29" max="29" width="11" customWidth="1"/>
  </cols>
  <sheetData>
    <row r="1" spans="1:29" ht="20.25" x14ac:dyDescent="0.3">
      <c r="A1" s="3" t="s">
        <v>0</v>
      </c>
    </row>
    <row r="2" spans="1:29" ht="42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spans="1:29" ht="30" customHeight="1" x14ac:dyDescent="0.25">
      <c r="A4" s="1" t="s">
        <v>2</v>
      </c>
      <c r="B4" s="1" t="s">
        <v>3</v>
      </c>
      <c r="C4" s="1" t="s">
        <v>4</v>
      </c>
      <c r="D4" s="1"/>
      <c r="E4" s="1"/>
      <c r="F4" s="1" t="s">
        <v>5</v>
      </c>
      <c r="G4" s="1"/>
      <c r="H4" s="1" t="s">
        <v>6</v>
      </c>
      <c r="I4" s="1"/>
      <c r="J4" s="1" t="s">
        <v>7</v>
      </c>
      <c r="K4" s="1"/>
      <c r="L4" s="1"/>
      <c r="M4" s="1"/>
      <c r="N4" s="1"/>
      <c r="O4" s="1"/>
      <c r="P4" s="1" t="s">
        <v>8</v>
      </c>
      <c r="Q4" s="1"/>
      <c r="R4" s="1"/>
      <c r="S4" s="1"/>
      <c r="T4" s="1"/>
      <c r="U4" s="1" t="s">
        <v>9</v>
      </c>
      <c r="V4" s="1"/>
      <c r="W4" s="1"/>
      <c r="X4" s="4" t="s">
        <v>10</v>
      </c>
      <c r="Y4" s="4" t="s">
        <v>11</v>
      </c>
      <c r="Z4" s="4" t="s">
        <v>12</v>
      </c>
      <c r="AA4" s="1" t="s">
        <v>13</v>
      </c>
      <c r="AB4" s="1" t="s">
        <v>14</v>
      </c>
      <c r="AC4" s="1" t="s">
        <v>15</v>
      </c>
    </row>
    <row r="5" spans="1:29" ht="21.75" customHeight="1" x14ac:dyDescent="0.25">
      <c r="A5" s="1"/>
      <c r="B5" s="1"/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  <c r="R5" s="5" t="s">
        <v>31</v>
      </c>
      <c r="S5" s="5" t="s">
        <v>32</v>
      </c>
      <c r="T5" s="5" t="s">
        <v>33</v>
      </c>
      <c r="U5" s="5" t="s">
        <v>34</v>
      </c>
      <c r="V5" s="5" t="s">
        <v>35</v>
      </c>
      <c r="W5" s="5" t="s">
        <v>36</v>
      </c>
      <c r="X5" s="5" t="s">
        <v>37</v>
      </c>
      <c r="Y5" s="5" t="s">
        <v>38</v>
      </c>
      <c r="Z5" s="5" t="s">
        <v>39</v>
      </c>
      <c r="AA5" s="1"/>
      <c r="AB5" s="1"/>
      <c r="AC5" s="1"/>
    </row>
    <row r="6" spans="1:29" ht="19.5" customHeight="1" x14ac:dyDescent="0.25">
      <c r="A6" s="6" t="s">
        <v>40</v>
      </c>
      <c r="B6" s="6" t="s">
        <v>41</v>
      </c>
      <c r="C6" s="7" t="s">
        <v>43</v>
      </c>
      <c r="D6" s="7" t="s">
        <v>42</v>
      </c>
      <c r="E6" s="7" t="s">
        <v>42</v>
      </c>
      <c r="F6" s="7" t="s">
        <v>42</v>
      </c>
      <c r="G6" s="7" t="s">
        <v>42</v>
      </c>
      <c r="H6" s="7" t="s">
        <v>42</v>
      </c>
      <c r="I6" s="7" t="s">
        <v>42</v>
      </c>
      <c r="J6" s="7" t="s">
        <v>42</v>
      </c>
      <c r="K6" s="7" t="s">
        <v>42</v>
      </c>
      <c r="L6" s="7" t="s">
        <v>42</v>
      </c>
      <c r="M6" s="7" t="s">
        <v>42</v>
      </c>
      <c r="N6" s="7" t="s">
        <v>42</v>
      </c>
      <c r="O6" s="7" t="s">
        <v>42</v>
      </c>
      <c r="P6" s="7" t="s">
        <v>42</v>
      </c>
      <c r="Q6" s="7" t="s">
        <v>42</v>
      </c>
      <c r="R6" s="7" t="s">
        <v>42</v>
      </c>
      <c r="S6" s="7" t="s">
        <v>42</v>
      </c>
      <c r="T6" s="7" t="s">
        <v>42</v>
      </c>
      <c r="U6" s="7" t="s">
        <v>42</v>
      </c>
      <c r="V6" s="7" t="s">
        <v>42</v>
      </c>
      <c r="W6" s="7" t="s">
        <v>42</v>
      </c>
      <c r="X6" s="7" t="s">
        <v>42</v>
      </c>
      <c r="Y6" s="7" t="s">
        <v>42</v>
      </c>
      <c r="Z6" s="7" t="s">
        <v>42</v>
      </c>
      <c r="AA6" s="7">
        <f t="shared" ref="AA6:AA21" si="0">IF($A6="","",COUNTIF(C6:Z6,"✓"))</f>
        <v>23</v>
      </c>
      <c r="AB6" s="7">
        <f t="shared" ref="AB6:AB21" si="1">IF($A6="","",COUNTIF(C6:Z6,"P"))</f>
        <v>1</v>
      </c>
      <c r="AC6" s="8">
        <f t="shared" ref="AC6:AC21" si="2">IF($A6="","",AA6/COLUMNS(C6:Z6))</f>
        <v>0.95833333333333337</v>
      </c>
    </row>
    <row r="7" spans="1:29" ht="19.5" customHeight="1" x14ac:dyDescent="0.25">
      <c r="A7" s="9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 t="str">
        <f t="shared" si="0"/>
        <v/>
      </c>
      <c r="AB7" s="10" t="str">
        <f t="shared" si="1"/>
        <v/>
      </c>
      <c r="AC7" s="11" t="str">
        <f t="shared" si="2"/>
        <v/>
      </c>
    </row>
    <row r="8" spans="1:29" ht="19.5" customHeight="1" x14ac:dyDescent="0.25">
      <c r="A8" s="9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 t="str">
        <f t="shared" si="0"/>
        <v/>
      </c>
      <c r="AB8" s="10" t="str">
        <f t="shared" si="1"/>
        <v/>
      </c>
      <c r="AC8" s="11" t="str">
        <f t="shared" si="2"/>
        <v/>
      </c>
    </row>
    <row r="9" spans="1:29" ht="19.5" customHeight="1" x14ac:dyDescent="0.25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 t="str">
        <f t="shared" si="0"/>
        <v/>
      </c>
      <c r="AB9" s="10" t="str">
        <f t="shared" si="1"/>
        <v/>
      </c>
      <c r="AC9" s="11" t="str">
        <f t="shared" si="2"/>
        <v/>
      </c>
    </row>
    <row r="10" spans="1:29" ht="19.5" customHeight="1" x14ac:dyDescent="0.25">
      <c r="A10" s="9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 t="str">
        <f t="shared" si="0"/>
        <v/>
      </c>
      <c r="AB10" s="10" t="str">
        <f t="shared" si="1"/>
        <v/>
      </c>
      <c r="AC10" s="11" t="str">
        <f t="shared" si="2"/>
        <v/>
      </c>
    </row>
    <row r="11" spans="1:29" ht="19.5" customHeight="1" x14ac:dyDescent="0.25">
      <c r="A11" s="9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 t="str">
        <f t="shared" si="0"/>
        <v/>
      </c>
      <c r="AB11" s="10" t="str">
        <f t="shared" si="1"/>
        <v/>
      </c>
      <c r="AC11" s="11" t="str">
        <f t="shared" si="2"/>
        <v/>
      </c>
    </row>
    <row r="12" spans="1:29" ht="19.5" customHeight="1" x14ac:dyDescent="0.25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 t="str">
        <f t="shared" si="0"/>
        <v/>
      </c>
      <c r="AB12" s="10" t="str">
        <f t="shared" si="1"/>
        <v/>
      </c>
      <c r="AC12" s="11" t="str">
        <f t="shared" si="2"/>
        <v/>
      </c>
    </row>
    <row r="13" spans="1:29" ht="19.5" customHeight="1" x14ac:dyDescent="0.25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 t="str">
        <f t="shared" si="0"/>
        <v/>
      </c>
      <c r="AB13" s="10" t="str">
        <f t="shared" si="1"/>
        <v/>
      </c>
      <c r="AC13" s="11" t="str">
        <f t="shared" si="2"/>
        <v/>
      </c>
    </row>
    <row r="14" spans="1:29" ht="19.5" customHeight="1" x14ac:dyDescent="0.25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 t="str">
        <f t="shared" si="0"/>
        <v/>
      </c>
      <c r="AB14" s="10" t="str">
        <f t="shared" si="1"/>
        <v/>
      </c>
      <c r="AC14" s="11" t="str">
        <f t="shared" si="2"/>
        <v/>
      </c>
    </row>
    <row r="15" spans="1:29" ht="19.5" customHeight="1" x14ac:dyDescent="0.25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 t="str">
        <f t="shared" si="0"/>
        <v/>
      </c>
      <c r="AB15" s="10" t="str">
        <f t="shared" si="1"/>
        <v/>
      </c>
      <c r="AC15" s="11" t="str">
        <f t="shared" si="2"/>
        <v/>
      </c>
    </row>
    <row r="16" spans="1:29" ht="19.5" customHeight="1" x14ac:dyDescent="0.25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 t="str">
        <f t="shared" si="0"/>
        <v/>
      </c>
      <c r="AB16" s="10" t="str">
        <f t="shared" si="1"/>
        <v/>
      </c>
      <c r="AC16" s="11" t="str">
        <f t="shared" si="2"/>
        <v/>
      </c>
    </row>
    <row r="17" spans="1:29" ht="19.5" customHeight="1" x14ac:dyDescent="0.25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 t="str">
        <f t="shared" si="0"/>
        <v/>
      </c>
      <c r="AB17" s="10" t="str">
        <f t="shared" si="1"/>
        <v/>
      </c>
      <c r="AC17" s="11" t="str">
        <f t="shared" si="2"/>
        <v/>
      </c>
    </row>
    <row r="18" spans="1:29" ht="19.5" customHeight="1" x14ac:dyDescent="0.25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 t="str">
        <f t="shared" si="0"/>
        <v/>
      </c>
      <c r="AB18" s="10" t="str">
        <f t="shared" si="1"/>
        <v/>
      </c>
      <c r="AC18" s="11" t="str">
        <f t="shared" si="2"/>
        <v/>
      </c>
    </row>
    <row r="19" spans="1:29" ht="19.5" customHeight="1" x14ac:dyDescent="0.25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 t="str">
        <f t="shared" si="0"/>
        <v/>
      </c>
      <c r="AB19" s="10" t="str">
        <f t="shared" si="1"/>
        <v/>
      </c>
      <c r="AC19" s="11" t="str">
        <f t="shared" si="2"/>
        <v/>
      </c>
    </row>
    <row r="20" spans="1:29" ht="19.5" customHeight="1" x14ac:dyDescent="0.25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 t="str">
        <f t="shared" si="0"/>
        <v/>
      </c>
      <c r="AB20" s="10" t="str">
        <f t="shared" si="1"/>
        <v/>
      </c>
      <c r="AC20" s="11" t="str">
        <f t="shared" si="2"/>
        <v/>
      </c>
    </row>
    <row r="21" spans="1:29" ht="19.5" customHeight="1" x14ac:dyDescent="0.25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 t="str">
        <f t="shared" si="0"/>
        <v/>
      </c>
      <c r="AB21" s="10" t="str">
        <f t="shared" si="1"/>
        <v/>
      </c>
      <c r="AC21" s="11" t="str">
        <f t="shared" si="2"/>
        <v/>
      </c>
    </row>
    <row r="23" spans="1:29" x14ac:dyDescent="0.25">
      <c r="A23" s="12" t="s">
        <v>44</v>
      </c>
      <c r="C23" s="13">
        <f t="shared" ref="C23:Z23" si="3">COUNTIF(C6:C21,"✓")</f>
        <v>0</v>
      </c>
      <c r="D23" s="13">
        <f t="shared" si="3"/>
        <v>1</v>
      </c>
      <c r="E23" s="13">
        <f t="shared" si="3"/>
        <v>1</v>
      </c>
      <c r="F23" s="13">
        <f t="shared" si="3"/>
        <v>1</v>
      </c>
      <c r="G23" s="13">
        <f t="shared" si="3"/>
        <v>1</v>
      </c>
      <c r="H23" s="13">
        <f t="shared" si="3"/>
        <v>1</v>
      </c>
      <c r="I23" s="13">
        <f t="shared" si="3"/>
        <v>1</v>
      </c>
      <c r="J23" s="13">
        <f t="shared" si="3"/>
        <v>1</v>
      </c>
      <c r="K23" s="13">
        <f t="shared" si="3"/>
        <v>1</v>
      </c>
      <c r="L23" s="13">
        <f t="shared" si="3"/>
        <v>1</v>
      </c>
      <c r="M23" s="13">
        <f t="shared" si="3"/>
        <v>1</v>
      </c>
      <c r="N23" s="13">
        <f t="shared" si="3"/>
        <v>1</v>
      </c>
      <c r="O23" s="13">
        <f t="shared" si="3"/>
        <v>1</v>
      </c>
      <c r="P23" s="13">
        <f t="shared" si="3"/>
        <v>1</v>
      </c>
      <c r="Q23" s="13">
        <f t="shared" si="3"/>
        <v>1</v>
      </c>
      <c r="R23" s="13">
        <f t="shared" si="3"/>
        <v>1</v>
      </c>
      <c r="S23" s="13">
        <f t="shared" si="3"/>
        <v>1</v>
      </c>
      <c r="T23" s="13">
        <f t="shared" si="3"/>
        <v>1</v>
      </c>
      <c r="U23" s="13">
        <f t="shared" si="3"/>
        <v>1</v>
      </c>
      <c r="V23" s="13">
        <f t="shared" si="3"/>
        <v>1</v>
      </c>
      <c r="W23" s="13">
        <f t="shared" si="3"/>
        <v>1</v>
      </c>
      <c r="X23" s="13">
        <f t="shared" si="3"/>
        <v>1</v>
      </c>
      <c r="Y23" s="13">
        <f t="shared" si="3"/>
        <v>1</v>
      </c>
      <c r="Z23" s="13">
        <f t="shared" si="3"/>
        <v>1</v>
      </c>
    </row>
    <row r="24" spans="1:29" x14ac:dyDescent="0.25">
      <c r="A24" s="14" t="s">
        <v>45</v>
      </c>
    </row>
  </sheetData>
  <mergeCells count="12">
    <mergeCell ref="A2:AC2"/>
    <mergeCell ref="A4:A5"/>
    <mergeCell ref="B4:B5"/>
    <mergeCell ref="C4:E4"/>
    <mergeCell ref="F4:G4"/>
    <mergeCell ref="H4:I4"/>
    <mergeCell ref="J4:O4"/>
    <mergeCell ref="P4:T4"/>
    <mergeCell ref="U4:W4"/>
    <mergeCell ref="AA4:AA5"/>
    <mergeCell ref="AB4:AB5"/>
    <mergeCell ref="AC4:AC5"/>
  </mergeCells>
  <conditionalFormatting sqref="C6:Z21">
    <cfRule type="cellIs" dxfId="1" priority="2" operator="equal">
      <formula>"✓"</formula>
    </cfRule>
    <cfRule type="cellIs" dxfId="0" priority="3" operator="equal">
      <formula>"P"</formula>
    </cfRule>
  </conditionalFormatting>
  <dataValidations count="1">
    <dataValidation type="list" allowBlank="1" sqref="C6:Z21" xr:uid="{00000000-0002-0000-0000-000000000000}">
      <formula1>"✓,P"</formula1>
      <formula2>0</formula2>
    </dataValidation>
  </dataValidations>
  <printOptions horizontalCentered="1"/>
  <pageMargins left="0.4" right="0.4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28" customWidth="1"/>
    <col min="3" max="3" width="70" customWidth="1"/>
    <col min="4" max="4" width="44" customWidth="1"/>
  </cols>
  <sheetData>
    <row r="1" spans="1:4" ht="18" x14ac:dyDescent="0.25">
      <c r="A1" s="15" t="s">
        <v>46</v>
      </c>
    </row>
    <row r="2" spans="1:4" x14ac:dyDescent="0.25">
      <c r="A2" s="16" t="s">
        <v>47</v>
      </c>
    </row>
    <row r="4" spans="1:4" ht="30" x14ac:dyDescent="0.25">
      <c r="A4" s="17" t="s">
        <v>48</v>
      </c>
      <c r="B4" s="17" t="s">
        <v>49</v>
      </c>
      <c r="C4" s="17" t="s">
        <v>50</v>
      </c>
      <c r="D4" s="17" t="s">
        <v>51</v>
      </c>
    </row>
    <row r="5" spans="1:4" ht="25.5" x14ac:dyDescent="0.25">
      <c r="A5" s="18" t="s">
        <v>16</v>
      </c>
      <c r="B5" s="19" t="s">
        <v>52</v>
      </c>
      <c r="C5" s="19" t="s">
        <v>53</v>
      </c>
      <c r="D5" s="19" t="s">
        <v>54</v>
      </c>
    </row>
    <row r="6" spans="1:4" ht="25.5" x14ac:dyDescent="0.25">
      <c r="A6" s="20" t="s">
        <v>17</v>
      </c>
      <c r="B6" s="21" t="s">
        <v>55</v>
      </c>
      <c r="C6" s="21" t="s">
        <v>56</v>
      </c>
      <c r="D6" s="21" t="s">
        <v>57</v>
      </c>
    </row>
    <row r="7" spans="1:4" ht="25.5" x14ac:dyDescent="0.25">
      <c r="A7" s="18" t="s">
        <v>18</v>
      </c>
      <c r="B7" s="19" t="s">
        <v>58</v>
      </c>
      <c r="C7" s="19" t="s">
        <v>59</v>
      </c>
      <c r="D7" s="19" t="s">
        <v>60</v>
      </c>
    </row>
    <row r="8" spans="1:4" x14ac:dyDescent="0.25">
      <c r="A8" s="20" t="s">
        <v>19</v>
      </c>
      <c r="B8" s="21" t="s">
        <v>61</v>
      </c>
      <c r="C8" s="21" t="s">
        <v>62</v>
      </c>
      <c r="D8" s="21" t="s">
        <v>63</v>
      </c>
    </row>
    <row r="9" spans="1:4" ht="25.5" x14ac:dyDescent="0.25">
      <c r="A9" s="18" t="s">
        <v>20</v>
      </c>
      <c r="B9" s="19" t="s">
        <v>64</v>
      </c>
      <c r="C9" s="19" t="s">
        <v>65</v>
      </c>
      <c r="D9" s="19" t="s">
        <v>66</v>
      </c>
    </row>
    <row r="10" spans="1:4" x14ac:dyDescent="0.25">
      <c r="A10" s="20" t="s">
        <v>21</v>
      </c>
      <c r="B10" s="21" t="s">
        <v>67</v>
      </c>
      <c r="C10" s="21" t="s">
        <v>68</v>
      </c>
      <c r="D10" s="21" t="s">
        <v>69</v>
      </c>
    </row>
    <row r="11" spans="1:4" x14ac:dyDescent="0.25">
      <c r="A11" s="18" t="s">
        <v>22</v>
      </c>
      <c r="B11" s="19" t="s">
        <v>70</v>
      </c>
      <c r="C11" s="19" t="s">
        <v>71</v>
      </c>
      <c r="D11" s="19" t="s">
        <v>72</v>
      </c>
    </row>
    <row r="12" spans="1:4" ht="25.5" x14ac:dyDescent="0.25">
      <c r="A12" s="20" t="s">
        <v>23</v>
      </c>
      <c r="B12" s="21" t="s">
        <v>73</v>
      </c>
      <c r="C12" s="21" t="s">
        <v>74</v>
      </c>
      <c r="D12" s="21" t="s">
        <v>75</v>
      </c>
    </row>
    <row r="13" spans="1:4" ht="25.5" x14ac:dyDescent="0.25">
      <c r="A13" s="18" t="s">
        <v>24</v>
      </c>
      <c r="B13" s="19" t="s">
        <v>76</v>
      </c>
      <c r="C13" s="19" t="s">
        <v>77</v>
      </c>
      <c r="D13" s="19" t="s">
        <v>78</v>
      </c>
    </row>
    <row r="14" spans="1:4" ht="25.5" x14ac:dyDescent="0.25">
      <c r="A14" s="20" t="s">
        <v>25</v>
      </c>
      <c r="B14" s="21" t="s">
        <v>79</v>
      </c>
      <c r="C14" s="21" t="s">
        <v>80</v>
      </c>
      <c r="D14" s="21" t="s">
        <v>81</v>
      </c>
    </row>
    <row r="15" spans="1:4" ht="25.5" x14ac:dyDescent="0.25">
      <c r="A15" s="18" t="s">
        <v>26</v>
      </c>
      <c r="B15" s="19" t="s">
        <v>82</v>
      </c>
      <c r="C15" s="19" t="s">
        <v>83</v>
      </c>
      <c r="D15" s="19" t="s">
        <v>84</v>
      </c>
    </row>
    <row r="16" spans="1:4" ht="25.5" x14ac:dyDescent="0.25">
      <c r="A16" s="20" t="s">
        <v>27</v>
      </c>
      <c r="B16" s="21" t="s">
        <v>85</v>
      </c>
      <c r="C16" s="21" t="s">
        <v>86</v>
      </c>
      <c r="D16" s="21" t="s">
        <v>87</v>
      </c>
    </row>
    <row r="17" spans="1:4" ht="25.5" x14ac:dyDescent="0.25">
      <c r="A17" s="18" t="s">
        <v>28</v>
      </c>
      <c r="B17" s="19" t="s">
        <v>88</v>
      </c>
      <c r="C17" s="19" t="s">
        <v>89</v>
      </c>
      <c r="D17" s="19" t="s">
        <v>90</v>
      </c>
    </row>
    <row r="18" spans="1:4" x14ac:dyDescent="0.25">
      <c r="A18" s="20" t="s">
        <v>29</v>
      </c>
      <c r="B18" s="21" t="s">
        <v>91</v>
      </c>
      <c r="C18" s="21" t="s">
        <v>92</v>
      </c>
      <c r="D18" s="21" t="s">
        <v>93</v>
      </c>
    </row>
    <row r="19" spans="1:4" ht="38.25" x14ac:dyDescent="0.25">
      <c r="A19" s="18" t="s">
        <v>30</v>
      </c>
      <c r="B19" s="19" t="s">
        <v>94</v>
      </c>
      <c r="C19" s="19" t="s">
        <v>95</v>
      </c>
      <c r="D19" s="19" t="s">
        <v>96</v>
      </c>
    </row>
    <row r="20" spans="1:4" ht="25.5" x14ac:dyDescent="0.25">
      <c r="A20" s="20" t="s">
        <v>31</v>
      </c>
      <c r="B20" s="21" t="s">
        <v>97</v>
      </c>
      <c r="C20" s="21" t="s">
        <v>98</v>
      </c>
      <c r="D20" s="21" t="s">
        <v>99</v>
      </c>
    </row>
    <row r="21" spans="1:4" x14ac:dyDescent="0.25">
      <c r="A21" s="18" t="s">
        <v>32</v>
      </c>
      <c r="B21" s="19" t="s">
        <v>97</v>
      </c>
      <c r="C21" s="19" t="s">
        <v>100</v>
      </c>
      <c r="D21" s="19" t="s">
        <v>101</v>
      </c>
    </row>
    <row r="22" spans="1:4" x14ac:dyDescent="0.25">
      <c r="A22" s="20" t="s">
        <v>33</v>
      </c>
      <c r="B22" s="21" t="s">
        <v>97</v>
      </c>
      <c r="C22" s="21" t="s">
        <v>102</v>
      </c>
      <c r="D22" s="21" t="s">
        <v>103</v>
      </c>
    </row>
    <row r="23" spans="1:4" ht="25.5" x14ac:dyDescent="0.25">
      <c r="A23" s="18" t="s">
        <v>34</v>
      </c>
      <c r="B23" s="19" t="s">
        <v>104</v>
      </c>
      <c r="C23" s="19" t="s">
        <v>105</v>
      </c>
      <c r="D23" s="19" t="s">
        <v>106</v>
      </c>
    </row>
    <row r="24" spans="1:4" ht="25.5" x14ac:dyDescent="0.25">
      <c r="A24" s="20" t="s">
        <v>35</v>
      </c>
      <c r="B24" s="21" t="s">
        <v>107</v>
      </c>
      <c r="C24" s="21" t="s">
        <v>108</v>
      </c>
      <c r="D24" s="21" t="s">
        <v>109</v>
      </c>
    </row>
    <row r="25" spans="1:4" ht="38.25" x14ac:dyDescent="0.25">
      <c r="A25" s="18" t="s">
        <v>36</v>
      </c>
      <c r="B25" s="19" t="s">
        <v>110</v>
      </c>
      <c r="C25" s="19" t="s">
        <v>111</v>
      </c>
      <c r="D25" s="19" t="s">
        <v>112</v>
      </c>
    </row>
    <row r="26" spans="1:4" ht="25.5" x14ac:dyDescent="0.25">
      <c r="A26" s="20" t="s">
        <v>37</v>
      </c>
      <c r="B26" s="21" t="s">
        <v>113</v>
      </c>
      <c r="C26" s="21" t="s">
        <v>114</v>
      </c>
      <c r="D26" s="21" t="s">
        <v>115</v>
      </c>
    </row>
    <row r="27" spans="1:4" ht="25.5" x14ac:dyDescent="0.25">
      <c r="A27" s="18" t="s">
        <v>38</v>
      </c>
      <c r="B27" s="19" t="s">
        <v>116</v>
      </c>
      <c r="C27" s="19" t="s">
        <v>117</v>
      </c>
      <c r="D27" s="19" t="s">
        <v>118</v>
      </c>
    </row>
    <row r="28" spans="1:4" ht="25.5" x14ac:dyDescent="0.25">
      <c r="A28" s="20" t="s">
        <v>39</v>
      </c>
      <c r="B28" s="21" t="s">
        <v>119</v>
      </c>
      <c r="C28" s="21" t="s">
        <v>120</v>
      </c>
      <c r="D28" s="21" t="s">
        <v>121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Xavier Goss</cp:lastModifiedBy>
  <cp:revision>0</cp:revision>
  <dcterms:created xsi:type="dcterms:W3CDTF">2026-10-25T20:27:42Z</dcterms:created>
  <dcterms:modified xsi:type="dcterms:W3CDTF">2026-10-25T21:40:55Z</dcterms:modified>
  <dc:language>en-US</dc:language>
</cp:coreProperties>
</file>