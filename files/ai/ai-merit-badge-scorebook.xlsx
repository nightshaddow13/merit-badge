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ry" sheetId="1" state="visible" r:id="rId3"/>
    <sheet name="Display" sheetId="2" state="visible" r:id="rId4"/>
    <sheet name="Roster" sheetId="3" state="visible" r:id="rId5"/>
    <sheet name="Key" sheetId="4" state="visible" r:id="rId6"/>
  </sheets>
  <definedNames>
    <definedName function="false" hidden="false" localSheetId="1" name="_xlnm.Print_Area" vbProcedure="false">Display!$A$1:$D$11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I6" authorId="0">
      <text>
        <r>
          <rPr>
            <sz val="10"/>
            <rFont val="Arial"/>
            <family val="2"/>
          </rPr>
          <t xml:space="preserve">Level 7 Boss Challenge is worth up to 100 XP.</t>
        </r>
      </text>
    </comment>
    <comment ref="V6" authorId="0">
      <text>
        <r>
          <rPr>
            <sz val="10"/>
            <rFont val="Arial"/>
            <family val="2"/>
          </rPr>
          <t xml:space="preserve">Helper: total minus a tiny squad-order amount, so ties rank the lower squad number first.</t>
        </r>
      </text>
    </comment>
  </commentList>
</comments>
</file>

<file path=xl/sharedStrings.xml><?xml version="1.0" encoding="utf-8"?>
<sst xmlns="http://schemas.openxmlformats.org/spreadsheetml/2006/main" count="87" uniqueCount="81">
  <si>
    <t xml:space="preserve">A.I.R.A. Scorebook: enter XP here</t>
  </si>
  <si>
    <t xml:space="preserve">Levels completed so far (0-8)</t>
  </si>
  <si>
    <t xml:space="preserve">Type the number of levels finished. The Display sheet unlocks one VERIFIED letter per level.</t>
  </si>
  <si>
    <t xml:space="preserve">Type in the blue cells only. Boss Challenge: 0-50 (Level 7: 0-100). Style points: 0-10. Side bonus = races, Example Rush, Press Conference topics. Totals and ranks calculate themselves.</t>
  </si>
  <si>
    <t xml:space="preserve">Ex</t>
  </si>
  <si>
    <t xml:space="preserve">Blue Falcons</t>
  </si>
  <si>
    <t xml:space="preserve">#</t>
  </si>
  <si>
    <t xml:space="preserve">Squad codename</t>
  </si>
  <si>
    <t xml:space="preserve">L1 Boss</t>
  </si>
  <si>
    <t xml:space="preserve">L2 Boss</t>
  </si>
  <si>
    <t xml:space="preserve">L3 Boss</t>
  </si>
  <si>
    <t xml:space="preserve">L4 Boss</t>
  </si>
  <si>
    <t xml:space="preserve">L5 Boss</t>
  </si>
  <si>
    <t xml:space="preserve">L6 Boss</t>
  </si>
  <si>
    <t xml:space="preserve">L7 Boss</t>
  </si>
  <si>
    <t xml:space="preserve">L8 Boss</t>
  </si>
  <si>
    <t xml:space="preserve">L1 Style</t>
  </si>
  <si>
    <t xml:space="preserve">L2 Style</t>
  </si>
  <si>
    <t xml:space="preserve">L3 Style</t>
  </si>
  <si>
    <t xml:space="preserve">L4 Style</t>
  </si>
  <si>
    <t xml:space="preserve">L5 Style</t>
  </si>
  <si>
    <t xml:space="preserve">L6 Style</t>
  </si>
  <si>
    <t xml:space="preserve">L7 Style</t>
  </si>
  <si>
    <t xml:space="preserve">L8 Style</t>
  </si>
  <si>
    <t xml:space="preserve">Side bonus</t>
  </si>
  <si>
    <t xml:space="preserve">Code-word bonus</t>
  </si>
  <si>
    <t xml:space="preserve">TOTAL XP</t>
  </si>
  <si>
    <t xml:space="preserve">Rank key</t>
  </si>
  <si>
    <t xml:space="preserve">Squad 1</t>
  </si>
  <si>
    <t xml:space="preserve">Squad 2</t>
  </si>
  <si>
    <t xml:space="preserve">Squad 3</t>
  </si>
  <si>
    <t xml:space="preserve">Squad 4</t>
  </si>
  <si>
    <t xml:space="preserve">Class total XP</t>
  </si>
  <si>
    <t xml:space="preserve">A.I.R.A. SCOREBOARD</t>
  </si>
  <si>
    <t xml:space="preserve">Select A1:D11, Copy, then Paste as Picture onto the Scoreboard slide.</t>
  </si>
  <si>
    <t xml:space="preserve">RANK</t>
  </si>
  <si>
    <t xml:space="preserve">SQUAD</t>
  </si>
  <si>
    <t xml:space="preserve">XP</t>
  </si>
  <si>
    <t xml:space="preserve">Verify what AI tells you.</t>
  </si>
  <si>
    <t xml:space="preserve">Advancement roster and sign-off tracker (counselor only)</t>
  </si>
  <si>
    <t xml:space="preserve">Type an X (or initials) when you initial that scout's Passport for the level. Use first name and last initial only.</t>
  </si>
  <si>
    <t xml:space="preserve">EXAMPLE (not counted)</t>
  </si>
  <si>
    <t xml:space="preserve">Scout</t>
  </si>
  <si>
    <t xml:space="preserve">Squad</t>
  </si>
  <si>
    <t xml:space="preserve">L1 Req 1</t>
  </si>
  <si>
    <t xml:space="preserve">L2 Req 2</t>
  </si>
  <si>
    <t xml:space="preserve">L3 Req 3</t>
  </si>
  <si>
    <t xml:space="preserve">L4 Req 4</t>
  </si>
  <si>
    <t xml:space="preserve">L5 Req 5</t>
  </si>
  <si>
    <t xml:space="preserve">L6 Req 6</t>
  </si>
  <si>
    <t xml:space="preserve">L7 Req 7(a)</t>
  </si>
  <si>
    <t xml:space="preserve">L8 Req 8(b)</t>
  </si>
  <si>
    <t xml:space="preserve">Levels signed</t>
  </si>
  <si>
    <t xml:space="preserve">Status</t>
  </si>
  <si>
    <t xml:space="preserve">Notes / make-up needed</t>
  </si>
  <si>
    <t xml:space="preserve">Sam T.</t>
  </si>
  <si>
    <t xml:space="preserve">X</t>
  </si>
  <si>
    <t xml:space="preserve">Absent for Level 7: email screenshot and reflection</t>
  </si>
  <si>
    <t xml:space="preserve">Scouts complete</t>
  </si>
  <si>
    <t xml:space="preserve">Scouts enrolled</t>
  </si>
  <si>
    <t xml:space="preserve">Scoring key and assumptions</t>
  </si>
  <si>
    <t xml:space="preserve">Item</t>
  </si>
  <si>
    <t xml:space="preserve">Value</t>
  </si>
  <si>
    <t xml:space="preserve">Source / note</t>
  </si>
  <si>
    <t xml:space="preserve">Boss Challenge max, Levels 1-6 and 8</t>
  </si>
  <si>
    <t xml:space="preserve">From your design: each level ends with a 50 XP Boss Challenge.</t>
  </si>
  <si>
    <t xml:space="preserve">Boss Challenge max, Level 7</t>
  </si>
  <si>
    <t xml:space="preserve">From your design: Level 7 is worth up to 100 XP.</t>
  </si>
  <si>
    <t xml:space="preserve">Style points max per level</t>
  </si>
  <si>
    <t xml:space="preserve">From your design: up to 10 per level.</t>
  </si>
  <si>
    <t xml:space="preserve">Code-word bonus (first squad)</t>
  </si>
  <si>
    <t xml:space="preserve">From your design: first squad to say VERIFIED earns 10 XP.</t>
  </si>
  <si>
    <t xml:space="preserve">Press Conference XP per required topic</t>
  </si>
  <si>
    <t xml:space="preserve">From slide 44: each required topic covered earns 5 XP (7 topics, 35 XP max). Enter in Side bonus.</t>
  </si>
  <si>
    <t xml:space="preserve">Levels in the game</t>
  </si>
  <si>
    <t xml:space="preserve">Eight missions, one VERIFIED letter each.</t>
  </si>
  <si>
    <t xml:space="preserve">Assumptions to confirm</t>
  </si>
  <si>
    <t xml:space="preserve">Side bonuses (Example Rush, Level 1 worksheet race, milestone-card race, Press Conference topics) are entered as one number per squad in the Entry sheet's Side bonus column. Point values for the races are not set in the deck, so decide them in class.</t>
  </si>
  <si>
    <t xml:space="preserve">Entry cell limits (50 / 100 / 10) are enforced by data validation using the values above typed in directly. If you change a value here, update the validation on the Entry sheet too.</t>
  </si>
  <si>
    <t xml:space="preserve">Ties on the Display sheet are broken by squad order (Squad 1 ranks above Squad 2 when totals are equal). Tell the room if a tie matters.</t>
  </si>
  <si>
    <t xml:space="preserve">Blue text = cells you type in. Black = formulas. Pale yellow fill = main data-entry cells.</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</si>
</sst>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color rgb="FF0000FF"/>
      <name val="Arial"/>
      <family val="0"/>
      <charset val="1"/>
    </font>
    <font>
      <sz val="11"/>
      <name val="Arial"/>
      <family val="0"/>
      <charset val="1"/>
    </font>
    <font>
      <i val="true"/>
      <sz val="10"/>
      <color rgb="FF808080"/>
      <name val="Arial"/>
      <family val="0"/>
      <charset val="1"/>
    </font>
    <font>
      <b val="true"/>
      <sz val="11"/>
      <color rgb="FFD4AF37"/>
      <name val="Arial"/>
      <family val="0"/>
      <charset val="1"/>
    </font>
    <font>
      <sz val="9"/>
      <color rgb="FF808080"/>
      <name val="Arial"/>
      <family val="0"/>
      <charset val="1"/>
    </font>
    <font>
      <sz val="10"/>
      <name val="Arial"/>
      <family val="2"/>
    </font>
    <font>
      <b val="true"/>
      <sz val="30"/>
      <color rgb="FFD4AF37"/>
      <name val="Cambria"/>
      <family val="0"/>
      <charset val="1"/>
    </font>
    <font>
      <i val="true"/>
      <sz val="10"/>
      <name val="Arial"/>
      <family val="0"/>
      <charset val="1"/>
    </font>
    <font>
      <b val="true"/>
      <sz val="22"/>
      <color rgb="FFFFFFFF"/>
      <name val="Courier New"/>
      <family val="0"/>
      <charset val="1"/>
    </font>
    <font>
      <sz val="16"/>
      <color rgb="FFD4AF37"/>
      <name val="Calibri"/>
      <family val="0"/>
      <charset val="1"/>
    </font>
    <font>
      <b val="true"/>
      <sz val="16"/>
      <color rgb="FFD4AF37"/>
      <name val="Cambria"/>
      <family val="0"/>
      <charset val="1"/>
    </font>
    <font>
      <b val="true"/>
      <sz val="24"/>
      <color rgb="FFFFFFFF"/>
      <name val="Cambria"/>
      <family val="0"/>
      <charset val="1"/>
    </font>
    <font>
      <b val="true"/>
      <sz val="24"/>
      <color rgb="FFD4AF37"/>
      <name val="Cambria"/>
      <family val="0"/>
      <charset val="1"/>
    </font>
    <font>
      <i val="true"/>
      <sz val="14"/>
      <color rgb="FFD4AF37"/>
      <name val="Calibri"/>
      <family val="0"/>
      <charset val="1"/>
    </font>
  </fonts>
  <fills count="5">
    <fill>
      <patternFill patternType="none"/>
    </fill>
    <fill>
      <patternFill patternType="gray125"/>
    </fill>
    <fill>
      <patternFill patternType="solid">
        <fgColor rgb="FFFFF2B3"/>
        <bgColor rgb="FFFFFF99"/>
      </patternFill>
    </fill>
    <fill>
      <patternFill patternType="solid">
        <fgColor rgb="FF1F3D2B"/>
        <bgColor rgb="FF14291D"/>
      </patternFill>
    </fill>
    <fill>
      <patternFill patternType="solid">
        <fgColor rgb="FF14291D"/>
        <bgColor rgb="FF1F3D2B"/>
      </patternFill>
    </fill>
  </fills>
  <borders count="3">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bottom style="medium">
        <color rgb="FFD4AF3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left" vertical="center" textRotation="0" wrapText="false" indent="1" shrinkToFit="false"/>
      <protection locked="true" hidden="false"/>
    </xf>
    <xf numFmtId="165" fontId="18" fillId="4" borderId="0" xfId="0" applyFont="true" applyBorder="false" applyAlignment="true" applyProtection="false">
      <alignment horizontal="center" vertical="center" textRotation="0" wrapText="tru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b val="1"/>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F37"/>
      <rgbColor rgb="FFFF6600"/>
      <rgbColor rgb="FF666699"/>
      <rgbColor rgb="FF999999"/>
      <rgbColor rgb="FF003366"/>
      <rgbColor rgb="FF339966"/>
      <rgbColor rgb="FF14291D"/>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18" min="3" style="0" width="9.51"/>
    <col collapsed="false" customWidth="true" hidden="false" outlineLevel="0" max="19" min="19" style="0" width="11"/>
    <col collapsed="false" customWidth="true" hidden="false" outlineLevel="0" max="20" min="20" style="0" width="14"/>
    <col collapsed="false" customWidth="true" hidden="false" outlineLevel="0" max="21" min="21" style="0" width="12"/>
    <col collapsed="false" customWidth="true" hidden="false" outlineLevel="0" max="22" min="22" style="0" width="10"/>
  </cols>
  <sheetData>
    <row r="1" customFormat="false" ht="17.35" hidden="false" customHeight="false" outlineLevel="0" collapsed="false">
      <c r="A1" s="1" t="s">
        <v>0</v>
      </c>
    </row>
    <row r="2" customFormat="false" ht="15" hidden="false" customHeight="false" outlineLevel="0" collapsed="false">
      <c r="A2" s="2" t="s">
        <v>1</v>
      </c>
      <c r="C2" s="3" t="n">
        <v>0</v>
      </c>
      <c r="D2" s="4" t="s">
        <v>2</v>
      </c>
    </row>
    <row r="3" customFormat="false" ht="15" hidden="false" customHeight="false" outlineLevel="0" collapsed="false">
      <c r="A3" s="4" t="s">
        <v>3</v>
      </c>
    </row>
    <row r="5" customFormat="false" ht="15" hidden="false" customHeight="false" outlineLevel="0" collapsed="false">
      <c r="A5" s="5" t="s">
        <v>4</v>
      </c>
      <c r="B5" s="5" t="s">
        <v>5</v>
      </c>
      <c r="C5" s="5" t="n">
        <v>45</v>
      </c>
      <c r="D5" s="5" t="n">
        <v>50</v>
      </c>
      <c r="E5" s="5" t="n">
        <v>40</v>
      </c>
      <c r="F5" s="5" t="n">
        <v>50</v>
      </c>
      <c r="G5" s="5" t="n">
        <v>0</v>
      </c>
      <c r="H5" s="5" t="n">
        <v>0</v>
      </c>
      <c r="I5" s="5" t="n">
        <v>0</v>
      </c>
      <c r="J5" s="5" t="n">
        <v>0</v>
      </c>
      <c r="K5" s="5" t="n">
        <v>8</v>
      </c>
      <c r="L5" s="5" t="n">
        <v>9</v>
      </c>
      <c r="M5" s="5" t="n">
        <v>7</v>
      </c>
      <c r="N5" s="5" t="n">
        <v>10</v>
      </c>
      <c r="O5" s="5" t="n">
        <v>0</v>
      </c>
      <c r="P5" s="5" t="n">
        <v>0</v>
      </c>
      <c r="Q5" s="5" t="n">
        <v>0</v>
      </c>
      <c r="R5" s="5" t="n">
        <v>0</v>
      </c>
      <c r="S5" s="5" t="n">
        <v>15</v>
      </c>
      <c r="T5" s="5" t="n">
        <v>0</v>
      </c>
      <c r="U5" s="5" t="n">
        <f aca="false">SUM(C5:R5)+S5+T5</f>
        <v>234</v>
      </c>
    </row>
    <row r="6" customFormat="false" ht="31.5" hidden="false" customHeight="true" outlineLevel="0" collapsed="false">
      <c r="A6" s="6" t="s">
        <v>6</v>
      </c>
      <c r="B6" s="6" t="s">
        <v>7</v>
      </c>
      <c r="C6" s="6" t="s">
        <v>8</v>
      </c>
      <c r="D6" s="6" t="s">
        <v>9</v>
      </c>
      <c r="E6" s="6" t="s">
        <v>10</v>
      </c>
      <c r="F6" s="6" t="s">
        <v>11</v>
      </c>
      <c r="G6" s="6" t="s">
        <v>12</v>
      </c>
      <c r="H6" s="6" t="s">
        <v>13</v>
      </c>
      <c r="I6" s="6" t="s">
        <v>14</v>
      </c>
      <c r="J6" s="6" t="s">
        <v>15</v>
      </c>
      <c r="K6" s="6" t="s">
        <v>16</v>
      </c>
      <c r="L6" s="6" t="s">
        <v>17</v>
      </c>
      <c r="M6" s="6" t="s">
        <v>18</v>
      </c>
      <c r="N6" s="6" t="s">
        <v>19</v>
      </c>
      <c r="O6" s="6" t="s">
        <v>20</v>
      </c>
      <c r="P6" s="6" t="s">
        <v>21</v>
      </c>
      <c r="Q6" s="6" t="s">
        <v>22</v>
      </c>
      <c r="R6" s="6" t="s">
        <v>23</v>
      </c>
      <c r="S6" s="6" t="s">
        <v>24</v>
      </c>
      <c r="T6" s="6" t="s">
        <v>25</v>
      </c>
      <c r="U6" s="6" t="s">
        <v>26</v>
      </c>
      <c r="V6" s="6" t="s">
        <v>27</v>
      </c>
    </row>
    <row r="7" customFormat="false" ht="15" hidden="false" customHeight="false" outlineLevel="0" collapsed="false">
      <c r="A7" s="7" t="n">
        <v>1</v>
      </c>
      <c r="B7" s="8" t="s">
        <v>28</v>
      </c>
      <c r="C7" s="3"/>
      <c r="D7" s="3"/>
      <c r="E7" s="3"/>
      <c r="F7" s="3"/>
      <c r="G7" s="3"/>
      <c r="H7" s="3"/>
      <c r="I7" s="3"/>
      <c r="J7" s="3"/>
      <c r="K7" s="3"/>
      <c r="L7" s="3"/>
      <c r="M7" s="3"/>
      <c r="N7" s="3"/>
      <c r="O7" s="3"/>
      <c r="P7" s="3"/>
      <c r="Q7" s="3"/>
      <c r="R7" s="3"/>
      <c r="S7" s="3"/>
      <c r="T7" s="3"/>
      <c r="U7" s="9" t="n">
        <f aca="false">SUM(C7:R7)+S7+T7</f>
        <v>0</v>
      </c>
      <c r="V7" s="10" t="n">
        <f aca="false">U7-A7/1000</f>
        <v>-0.001</v>
      </c>
    </row>
    <row r="8" customFormat="false" ht="15" hidden="false" customHeight="false" outlineLevel="0" collapsed="false">
      <c r="A8" s="7" t="n">
        <v>2</v>
      </c>
      <c r="B8" s="8" t="s">
        <v>29</v>
      </c>
      <c r="C8" s="3"/>
      <c r="D8" s="3"/>
      <c r="E8" s="3"/>
      <c r="F8" s="3"/>
      <c r="G8" s="3"/>
      <c r="H8" s="3"/>
      <c r="I8" s="3"/>
      <c r="J8" s="3"/>
      <c r="K8" s="3"/>
      <c r="L8" s="3"/>
      <c r="M8" s="3"/>
      <c r="N8" s="3"/>
      <c r="O8" s="3"/>
      <c r="P8" s="3"/>
      <c r="Q8" s="3"/>
      <c r="R8" s="3"/>
      <c r="S8" s="3"/>
      <c r="T8" s="3"/>
      <c r="U8" s="9" t="n">
        <f aca="false">SUM(C8:R8)+S8+T8</f>
        <v>0</v>
      </c>
      <c r="V8" s="10" t="n">
        <f aca="false">U8-A8/1000</f>
        <v>-0.002</v>
      </c>
    </row>
    <row r="9" customFormat="false" ht="15" hidden="false" customHeight="false" outlineLevel="0" collapsed="false">
      <c r="A9" s="7" t="n">
        <v>3</v>
      </c>
      <c r="B9" s="8" t="s">
        <v>30</v>
      </c>
      <c r="C9" s="3"/>
      <c r="D9" s="3"/>
      <c r="E9" s="3"/>
      <c r="F9" s="3"/>
      <c r="G9" s="3"/>
      <c r="H9" s="3"/>
      <c r="I9" s="3"/>
      <c r="J9" s="3"/>
      <c r="K9" s="3"/>
      <c r="L9" s="3"/>
      <c r="M9" s="3"/>
      <c r="N9" s="3"/>
      <c r="O9" s="3"/>
      <c r="P9" s="3"/>
      <c r="Q9" s="3"/>
      <c r="R9" s="3"/>
      <c r="S9" s="3"/>
      <c r="T9" s="3"/>
      <c r="U9" s="9" t="n">
        <f aca="false">SUM(C9:R9)+S9+T9</f>
        <v>0</v>
      </c>
      <c r="V9" s="10" t="n">
        <f aca="false">U9-A9/1000</f>
        <v>-0.003</v>
      </c>
    </row>
    <row r="10" customFormat="false" ht="15" hidden="false" customHeight="false" outlineLevel="0" collapsed="false">
      <c r="A10" s="7" t="n">
        <v>4</v>
      </c>
      <c r="B10" s="8" t="s">
        <v>31</v>
      </c>
      <c r="C10" s="3"/>
      <c r="D10" s="3"/>
      <c r="E10" s="3"/>
      <c r="F10" s="3"/>
      <c r="G10" s="3"/>
      <c r="H10" s="3"/>
      <c r="I10" s="3"/>
      <c r="J10" s="3"/>
      <c r="K10" s="3"/>
      <c r="L10" s="3"/>
      <c r="M10" s="3"/>
      <c r="N10" s="3"/>
      <c r="O10" s="3"/>
      <c r="P10" s="3"/>
      <c r="Q10" s="3"/>
      <c r="R10" s="3"/>
      <c r="S10" s="3"/>
      <c r="T10" s="3"/>
      <c r="U10" s="9" t="n">
        <f aca="false">SUM(C10:R10)+S10+T10</f>
        <v>0</v>
      </c>
      <c r="V10" s="10" t="n">
        <f aca="false">U10-A10/1000</f>
        <v>-0.004</v>
      </c>
    </row>
    <row r="11" customFormat="false" ht="15" hidden="false" customHeight="false" outlineLevel="0" collapsed="false">
      <c r="B11" s="2" t="s">
        <v>32</v>
      </c>
      <c r="U11" s="2" t="n">
        <f aca="false">SUM(U7:U10)</f>
        <v>0</v>
      </c>
    </row>
  </sheetData>
  <dataValidations count="5">
    <dataValidation allowBlank="false" error="Enter 0-50." errorStyle="stop" errorTitle="Boss XP" operator="between" showDropDown="false" showErrorMessage="true" showInputMessage="false" sqref="C7:H10 J7:J10" type="decimal">
      <formula1>0</formula1>
      <formula2>50</formula2>
    </dataValidation>
    <dataValidation allowBlank="false" error="Enter 0-100." errorStyle="stop" errorTitle="Level 7 XP" operator="between" showDropDown="false" showErrorMessage="true" showInputMessage="false" sqref="I7:I10" type="decimal">
      <formula1>0</formula1>
      <formula2>100</formula2>
    </dataValidation>
    <dataValidation allowBlank="false" error="Enter 0-10." errorStyle="stop" errorTitle="Style points" operator="between" showDropDown="false" showErrorMessage="true" showInputMessage="false" sqref="K7:R10" type="decimal">
      <formula1>0</formula1>
      <formula2>10</formula2>
    </dataValidation>
    <dataValidation allowBlank="false" error="Enter a whole number 0-8." errorStyle="stop" errorTitle="Levels" operator="between" showDropDown="false" showErrorMessage="true" showInputMessage="false" sqref="C2" type="whole">
      <formula1>0</formula1>
      <formula2>8</formula2>
    </dataValidation>
    <dataValidation allowBlank="false" error="Enter 0-10." errorStyle="stop" errorTitle="Code bonus" operator="between" showDropDown="false" showErrorMessage="true" showInputMessage="false" sqref="T7:T10"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6"/>
    <col collapsed="false" customWidth="true" hidden="false" outlineLevel="0" max="4" min="4" style="0" width="22"/>
  </cols>
  <sheetData>
    <row r="1" customFormat="false" ht="51.75" hidden="false" customHeight="true" outlineLevel="0" collapsed="false">
      <c r="A1" s="11" t="s">
        <v>33</v>
      </c>
      <c r="B1" s="11"/>
      <c r="C1" s="11"/>
      <c r="D1" s="11"/>
      <c r="F1" s="12" t="s">
        <v>34</v>
      </c>
    </row>
    <row r="2" customFormat="false" ht="39.75" hidden="false" customHeight="true" outlineLevel="0" collapsed="false">
      <c r="A2" s="13" t="str">
        <f aca="false">"ACCESS CODE:   "&amp;IF(Entry!$C$2&gt;=1,MID("VERIFIED",1,1),"_")&amp;"  "&amp;IF(Entry!$C$2&gt;=2,MID("VERIFIED",2,1),"_")&amp;"  "&amp;IF(Entry!$C$2&gt;=3,MID("VERIFIED",3,1),"_")&amp;"  "&amp;IF(Entry!$C$2&gt;=4,MID("VERIFIED",4,1),"_")&amp;"  "&amp;IF(Entry!$C$2&gt;=5,MID("VERIFIED",5,1),"_")&amp;"  "&amp;IF(Entry!$C$2&gt;=6,MID("VERIFIED",6,1),"_")&amp;"  "&amp;IF(Entry!$C$2&gt;=7,MID("VERIFIED",7,1),"_")&amp;"  "&amp;IF(Entry!$C$2&gt;=8,MID("VERIFIED",8,1),"_")</f>
        <v>ACCESS CODE:   _  _  _  _  _  _  _  _</v>
      </c>
      <c r="B2" s="13"/>
      <c r="C2" s="13"/>
      <c r="D2" s="13"/>
    </row>
    <row r="3" customFormat="false" ht="27.75" hidden="false" customHeight="true" outlineLevel="0" collapsed="false">
      <c r="A3" s="14" t="str">
        <f aca="false">"Mission "&amp;Entry!$C$2&amp;" of 8 complete"</f>
        <v>Mission 0 of 8 complete</v>
      </c>
      <c r="B3" s="14"/>
      <c r="C3" s="14"/>
      <c r="D3" s="14"/>
    </row>
    <row r="4" customFormat="false" ht="15" hidden="false" customHeight="false" outlineLevel="0" collapsed="false">
      <c r="A4" s="15"/>
      <c r="B4" s="15"/>
      <c r="C4" s="15"/>
      <c r="D4" s="15"/>
    </row>
    <row r="5" customFormat="false" ht="30" hidden="false" customHeight="true" outlineLevel="0" collapsed="false">
      <c r="A5" s="16" t="s">
        <v>35</v>
      </c>
      <c r="B5" s="16" t="s">
        <v>36</v>
      </c>
      <c r="C5" s="16" t="s">
        <v>37</v>
      </c>
      <c r="D5" s="16"/>
    </row>
    <row r="6" customFormat="false" ht="45.75" hidden="false" customHeight="true" outlineLevel="0" collapsed="false">
      <c r="A6" s="17" t="n">
        <v>1</v>
      </c>
      <c r="B6" s="18" t="str">
        <f aca="false">INDEX(Entry!$B$7:$B$10,MATCH(LARGE(Entry!$V$7:$V$10,1),Entry!$V$7:$V$10,0))</f>
        <v>Squad 1</v>
      </c>
      <c r="C6" s="19" t="n">
        <f aca="false">INDEX(Entry!$U$7:$U$10,MATCH(LARGE(Entry!$V$7:$V$10,1),Entry!$V$7:$V$10,0))</f>
        <v>0</v>
      </c>
      <c r="D6" s="15"/>
    </row>
    <row r="7" customFormat="false" ht="45.75" hidden="false" customHeight="true" outlineLevel="0" collapsed="false">
      <c r="A7" s="17" t="n">
        <v>2</v>
      </c>
      <c r="B7" s="18" t="str">
        <f aca="false">INDEX(Entry!$B$7:$B$10,MATCH(LARGE(Entry!$V$7:$V$10,2),Entry!$V$7:$V$10,0))</f>
        <v>Squad 2</v>
      </c>
      <c r="C7" s="19" t="n">
        <f aca="false">INDEX(Entry!$U$7:$U$10,MATCH(LARGE(Entry!$V$7:$V$10,2),Entry!$V$7:$V$10,0))</f>
        <v>0</v>
      </c>
      <c r="D7" s="15"/>
    </row>
    <row r="8" customFormat="false" ht="45.75" hidden="false" customHeight="true" outlineLevel="0" collapsed="false">
      <c r="A8" s="17" t="n">
        <v>3</v>
      </c>
      <c r="B8" s="18" t="str">
        <f aca="false">INDEX(Entry!$B$7:$B$10,MATCH(LARGE(Entry!$V$7:$V$10,3),Entry!$V$7:$V$10,0))</f>
        <v>Squad 3</v>
      </c>
      <c r="C8" s="19" t="n">
        <f aca="false">INDEX(Entry!$U$7:$U$10,MATCH(LARGE(Entry!$V$7:$V$10,3),Entry!$V$7:$V$10,0))</f>
        <v>0</v>
      </c>
      <c r="D8" s="15"/>
    </row>
    <row r="9" customFormat="false" ht="45.75" hidden="false" customHeight="true" outlineLevel="0" collapsed="false">
      <c r="A9" s="17" t="n">
        <v>4</v>
      </c>
      <c r="B9" s="18" t="str">
        <f aca="false">INDEX(Entry!$B$7:$B$10,MATCH(LARGE(Entry!$V$7:$V$10,4),Entry!$V$7:$V$10,0))</f>
        <v>Squad 4</v>
      </c>
      <c r="C9" s="19" t="n">
        <f aca="false">INDEX(Entry!$U$7:$U$10,MATCH(LARGE(Entry!$V$7:$V$10,4),Entry!$V$7:$V$10,0))</f>
        <v>0</v>
      </c>
      <c r="D9" s="15"/>
    </row>
    <row r="10" customFormat="false" ht="15" hidden="false" customHeight="false" outlineLevel="0" collapsed="false">
      <c r="A10" s="15"/>
      <c r="B10" s="15"/>
      <c r="C10" s="15"/>
      <c r="D10" s="15"/>
    </row>
    <row r="11" customFormat="false" ht="18.65" hidden="false" customHeight="true" outlineLevel="0" collapsed="false">
      <c r="A11" s="20" t="s">
        <v>38</v>
      </c>
      <c r="B11" s="20"/>
      <c r="C11" s="20"/>
      <c r="D11" s="20"/>
    </row>
    <row r="12" customFormat="false" ht="15" hidden="false" customHeight="false" outlineLevel="0" collapsed="false">
      <c r="A12" s="15"/>
      <c r="B12" s="15"/>
      <c r="C12" s="15"/>
      <c r="D12" s="15"/>
    </row>
    <row r="13" customFormat="false" ht="15" hidden="false" customHeight="false" outlineLevel="0" collapsed="false">
      <c r="A13" s="15"/>
      <c r="B13" s="15"/>
      <c r="C13" s="15"/>
      <c r="D13" s="15"/>
    </row>
  </sheetData>
  <mergeCells count="4">
    <mergeCell ref="A1:D1"/>
    <mergeCell ref="A2:D2"/>
    <mergeCell ref="A3:D3"/>
    <mergeCell ref="A11:D11"/>
  </mergeCells>
  <conditionalFormatting sqref="C6:C9">
    <cfRule type="dataBar" priority="2">
      <dataBar showValue="1" minLength="10" maxLength="90">
        <cfvo type="num" val="0"/>
        <cfvo type="max" val="0"/>
        <color rgb="FFD4AF37"/>
      </dataBar>
      <extLst>
        <ext xmlns:x14="http://schemas.microsoft.com/office/spreadsheetml/2009/9/main" uri="{B025F937-C7B1-47D3-B67F-A62EFF666E3E}">
          <x14:id>{9743D0D0-B16A-4AB8-912B-55937447B428}</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743D0D0-B16A-4AB8-912B-55937447B428}">
            <x14:dataBar minLength="10" maxLength="90" axisPosition="none" gradient="true">
              <x14:cfvo type="num">
                <xm:f>0</xm:f>
              </x14:cfvo>
              <x14:cfvo type="max"/>
              <x14:negativeFillColor rgb="FFD4AF37"/>
              <x14:axisColor rgb="FF000000"/>
            </x14:dataBar>
          </x14:cfRule>
          <xm:sqref>C6:C9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10" min="3" style="0" width="11"/>
    <col collapsed="false" customWidth="true" hidden="false" outlineLevel="0" max="12" min="11" style="0" width="13"/>
    <col collapsed="false" customWidth="true" hidden="false" outlineLevel="0" max="13" min="13" style="0" width="44"/>
  </cols>
  <sheetData>
    <row r="1" customFormat="false" ht="17.35" hidden="false" customHeight="false" outlineLevel="0" collapsed="false">
      <c r="A1" s="1" t="s">
        <v>39</v>
      </c>
    </row>
    <row r="2" customFormat="false" ht="15" hidden="false" customHeight="false" outlineLevel="0" collapsed="false">
      <c r="A2" s="4" t="s">
        <v>40</v>
      </c>
    </row>
    <row r="3" customFormat="false" ht="15" hidden="false" customHeight="false" outlineLevel="0" collapsed="false">
      <c r="A3" s="12" t="s">
        <v>41</v>
      </c>
    </row>
    <row r="4" customFormat="false" ht="33.75" hidden="false" customHeight="true" outlineLevel="0" collapsed="false">
      <c r="A4" s="6" t="s">
        <v>42</v>
      </c>
      <c r="B4" s="6" t="s">
        <v>43</v>
      </c>
      <c r="C4" s="6" t="s">
        <v>44</v>
      </c>
      <c r="D4" s="6" t="s">
        <v>45</v>
      </c>
      <c r="E4" s="6" t="s">
        <v>46</v>
      </c>
      <c r="F4" s="6" t="s">
        <v>47</v>
      </c>
      <c r="G4" s="6" t="s">
        <v>48</v>
      </c>
      <c r="H4" s="6" t="s">
        <v>49</v>
      </c>
      <c r="I4" s="6" t="s">
        <v>50</v>
      </c>
      <c r="J4" s="6" t="s">
        <v>51</v>
      </c>
      <c r="K4" s="6" t="s">
        <v>52</v>
      </c>
      <c r="L4" s="6" t="s">
        <v>53</v>
      </c>
      <c r="M4" s="6" t="s">
        <v>54</v>
      </c>
    </row>
    <row r="5" customFormat="false" ht="15" hidden="false" customHeight="false" outlineLevel="0" collapsed="false">
      <c r="A5" s="5" t="s">
        <v>55</v>
      </c>
      <c r="B5" s="5" t="s">
        <v>5</v>
      </c>
      <c r="C5" s="5" t="s">
        <v>56</v>
      </c>
      <c r="D5" s="5" t="s">
        <v>56</v>
      </c>
      <c r="E5" s="5" t="s">
        <v>56</v>
      </c>
      <c r="F5" s="5" t="s">
        <v>56</v>
      </c>
      <c r="G5" s="5" t="s">
        <v>56</v>
      </c>
      <c r="H5" s="5" t="s">
        <v>56</v>
      </c>
      <c r="I5" s="5"/>
      <c r="J5" s="5"/>
      <c r="K5" s="5" t="n">
        <f aca="false">COUNTA(C5:J5)-COUNTIF(C5:J5,"")</f>
        <v>4</v>
      </c>
      <c r="L5" s="5" t="str">
        <f aca="false">IF(K5=8,"Complete",IF(K5=0,"Not started","In progress"))</f>
        <v>In progress</v>
      </c>
      <c r="M5" s="5" t="s">
        <v>57</v>
      </c>
    </row>
    <row r="6" customFormat="false" ht="15" hidden="false" customHeight="false" outlineLevel="0" collapsed="false">
      <c r="A6" s="21"/>
      <c r="B6" s="21"/>
      <c r="C6" s="3"/>
      <c r="D6" s="3"/>
      <c r="E6" s="3"/>
      <c r="F6" s="3"/>
      <c r="G6" s="3"/>
      <c r="H6" s="3"/>
      <c r="I6" s="3"/>
      <c r="J6" s="3"/>
      <c r="K6" s="7" t="n">
        <f aca="false">COUNTA(C6:J6)-COUNTIF(C6:J6,"")</f>
        <v>-8</v>
      </c>
      <c r="L6" s="7" t="str">
        <f aca="false">IF(A6="","",IF(K6=8,"Complete",IF(K6=0,"Not started","In progress")))</f>
        <v/>
      </c>
      <c r="M6" s="22"/>
    </row>
    <row r="7" customFormat="false" ht="15" hidden="false" customHeight="false" outlineLevel="0" collapsed="false">
      <c r="A7" s="21"/>
      <c r="B7" s="21"/>
      <c r="C7" s="3"/>
      <c r="D7" s="3"/>
      <c r="E7" s="3"/>
      <c r="F7" s="3"/>
      <c r="G7" s="3"/>
      <c r="H7" s="3"/>
      <c r="I7" s="3"/>
      <c r="J7" s="3"/>
      <c r="K7" s="7" t="n">
        <f aca="false">COUNTA(C7:J7)-COUNTIF(C7:J7,"")</f>
        <v>-8</v>
      </c>
      <c r="L7" s="7" t="str">
        <f aca="false">IF(A7="","",IF(K7=8,"Complete",IF(K7=0,"Not started","In progress")))</f>
        <v/>
      </c>
      <c r="M7" s="22"/>
    </row>
    <row r="8" customFormat="false" ht="15" hidden="false" customHeight="false" outlineLevel="0" collapsed="false">
      <c r="A8" s="21"/>
      <c r="B8" s="21"/>
      <c r="C8" s="3"/>
      <c r="D8" s="3"/>
      <c r="E8" s="3"/>
      <c r="F8" s="3"/>
      <c r="G8" s="3"/>
      <c r="H8" s="3"/>
      <c r="I8" s="3"/>
      <c r="J8" s="3"/>
      <c r="K8" s="7" t="n">
        <f aca="false">COUNTA(C8:J8)-COUNTIF(C8:J8,"")</f>
        <v>-8</v>
      </c>
      <c r="L8" s="7" t="str">
        <f aca="false">IF(A8="","",IF(K8=8,"Complete",IF(K8=0,"Not started","In progress")))</f>
        <v/>
      </c>
      <c r="M8" s="22"/>
    </row>
    <row r="9" customFormat="false" ht="15" hidden="false" customHeight="false" outlineLevel="0" collapsed="false">
      <c r="A9" s="21"/>
      <c r="B9" s="21"/>
      <c r="C9" s="3"/>
      <c r="D9" s="3"/>
      <c r="E9" s="3"/>
      <c r="F9" s="3"/>
      <c r="G9" s="3"/>
      <c r="H9" s="3"/>
      <c r="I9" s="3"/>
      <c r="J9" s="3"/>
      <c r="K9" s="7" t="n">
        <f aca="false">COUNTA(C9:J9)-COUNTIF(C9:J9,"")</f>
        <v>-8</v>
      </c>
      <c r="L9" s="7" t="str">
        <f aca="false">IF(A9="","",IF(K9=8,"Complete",IF(K9=0,"Not started","In progress")))</f>
        <v/>
      </c>
      <c r="M9" s="22"/>
    </row>
    <row r="10" customFormat="false" ht="15" hidden="false" customHeight="false" outlineLevel="0" collapsed="false">
      <c r="A10" s="21"/>
      <c r="B10" s="21"/>
      <c r="C10" s="3"/>
      <c r="D10" s="3"/>
      <c r="E10" s="3"/>
      <c r="F10" s="3"/>
      <c r="G10" s="3"/>
      <c r="H10" s="3"/>
      <c r="I10" s="3"/>
      <c r="J10" s="3"/>
      <c r="K10" s="7" t="n">
        <f aca="false">COUNTA(C10:J10)-COUNTIF(C10:J10,"")</f>
        <v>-8</v>
      </c>
      <c r="L10" s="7" t="str">
        <f aca="false">IF(A10="","",IF(K10=8,"Complete",IF(K10=0,"Not started","In progress")))</f>
        <v/>
      </c>
      <c r="M10" s="22"/>
    </row>
    <row r="11" customFormat="false" ht="15" hidden="false" customHeight="false" outlineLevel="0" collapsed="false">
      <c r="A11" s="21"/>
      <c r="B11" s="21"/>
      <c r="C11" s="3"/>
      <c r="D11" s="3"/>
      <c r="E11" s="3"/>
      <c r="F11" s="3"/>
      <c r="G11" s="3"/>
      <c r="H11" s="3"/>
      <c r="I11" s="3"/>
      <c r="J11" s="3"/>
      <c r="K11" s="7" t="n">
        <f aca="false">COUNTA(C11:J11)-COUNTIF(C11:J11,"")</f>
        <v>-8</v>
      </c>
      <c r="L11" s="7" t="str">
        <f aca="false">IF(A11="","",IF(K11=8,"Complete",IF(K11=0,"Not started","In progress")))</f>
        <v/>
      </c>
      <c r="M11" s="22"/>
    </row>
    <row r="12" customFormat="false" ht="15" hidden="false" customHeight="false" outlineLevel="0" collapsed="false">
      <c r="A12" s="21"/>
      <c r="B12" s="21"/>
      <c r="C12" s="3"/>
      <c r="D12" s="3"/>
      <c r="E12" s="3"/>
      <c r="F12" s="3"/>
      <c r="G12" s="3"/>
      <c r="H12" s="3"/>
      <c r="I12" s="3"/>
      <c r="J12" s="3"/>
      <c r="K12" s="7" t="n">
        <f aca="false">COUNTA(C12:J12)-COUNTIF(C12:J12,"")</f>
        <v>-8</v>
      </c>
      <c r="L12" s="7" t="str">
        <f aca="false">IF(A12="","",IF(K12=8,"Complete",IF(K12=0,"Not started","In progress")))</f>
        <v/>
      </c>
      <c r="M12" s="22"/>
    </row>
    <row r="13" customFormat="false" ht="15" hidden="false" customHeight="false" outlineLevel="0" collapsed="false">
      <c r="A13" s="21"/>
      <c r="B13" s="21"/>
      <c r="C13" s="3"/>
      <c r="D13" s="3"/>
      <c r="E13" s="3"/>
      <c r="F13" s="3"/>
      <c r="G13" s="3"/>
      <c r="H13" s="3"/>
      <c r="I13" s="3"/>
      <c r="J13" s="3"/>
      <c r="K13" s="7" t="n">
        <f aca="false">COUNTA(C13:J13)-COUNTIF(C13:J13,"")</f>
        <v>-8</v>
      </c>
      <c r="L13" s="7" t="str">
        <f aca="false">IF(A13="","",IF(K13=8,"Complete",IF(K13=0,"Not started","In progress")))</f>
        <v/>
      </c>
      <c r="M13" s="22"/>
    </row>
    <row r="14" customFormat="false" ht="15" hidden="false" customHeight="false" outlineLevel="0" collapsed="false">
      <c r="A14" s="21"/>
      <c r="B14" s="21"/>
      <c r="C14" s="3"/>
      <c r="D14" s="3"/>
      <c r="E14" s="3"/>
      <c r="F14" s="3"/>
      <c r="G14" s="3"/>
      <c r="H14" s="3"/>
      <c r="I14" s="3"/>
      <c r="J14" s="3"/>
      <c r="K14" s="7" t="n">
        <f aca="false">COUNTA(C14:J14)-COUNTIF(C14:J14,"")</f>
        <v>-8</v>
      </c>
      <c r="L14" s="7" t="str">
        <f aca="false">IF(A14="","",IF(K14=8,"Complete",IF(K14=0,"Not started","In progress")))</f>
        <v/>
      </c>
      <c r="M14" s="22"/>
    </row>
    <row r="15" customFormat="false" ht="15" hidden="false" customHeight="false" outlineLevel="0" collapsed="false">
      <c r="A15" s="21"/>
      <c r="B15" s="21"/>
      <c r="C15" s="3"/>
      <c r="D15" s="3"/>
      <c r="E15" s="3"/>
      <c r="F15" s="3"/>
      <c r="G15" s="3"/>
      <c r="H15" s="3"/>
      <c r="I15" s="3"/>
      <c r="J15" s="3"/>
      <c r="K15" s="7" t="n">
        <f aca="false">COUNTA(C15:J15)-COUNTIF(C15:J15,"")</f>
        <v>-8</v>
      </c>
      <c r="L15" s="7" t="str">
        <f aca="false">IF(A15="","",IF(K15=8,"Complete",IF(K15=0,"Not started","In progress")))</f>
        <v/>
      </c>
      <c r="M15" s="22"/>
    </row>
    <row r="16" customFormat="false" ht="15" hidden="false" customHeight="false" outlineLevel="0" collapsed="false">
      <c r="A16" s="21"/>
      <c r="B16" s="21"/>
      <c r="C16" s="3"/>
      <c r="D16" s="3"/>
      <c r="E16" s="3"/>
      <c r="F16" s="3"/>
      <c r="G16" s="3"/>
      <c r="H16" s="3"/>
      <c r="I16" s="3"/>
      <c r="J16" s="3"/>
      <c r="K16" s="7" t="n">
        <f aca="false">COUNTA(C16:J16)-COUNTIF(C16:J16,"")</f>
        <v>-8</v>
      </c>
      <c r="L16" s="7" t="str">
        <f aca="false">IF(A16="","",IF(K16=8,"Complete",IF(K16=0,"Not started","In progress")))</f>
        <v/>
      </c>
      <c r="M16" s="22"/>
    </row>
    <row r="17" customFormat="false" ht="15" hidden="false" customHeight="false" outlineLevel="0" collapsed="false">
      <c r="A17" s="21"/>
      <c r="B17" s="21"/>
      <c r="C17" s="3"/>
      <c r="D17" s="3"/>
      <c r="E17" s="3"/>
      <c r="F17" s="3"/>
      <c r="G17" s="3"/>
      <c r="H17" s="3"/>
      <c r="I17" s="3"/>
      <c r="J17" s="3"/>
      <c r="K17" s="7" t="n">
        <f aca="false">COUNTA(C17:J17)-COUNTIF(C17:J17,"")</f>
        <v>-8</v>
      </c>
      <c r="L17" s="7" t="str">
        <f aca="false">IF(A17="","",IF(K17=8,"Complete",IF(K17=0,"Not started","In progress")))</f>
        <v/>
      </c>
      <c r="M17" s="22"/>
    </row>
    <row r="18" customFormat="false" ht="15" hidden="false" customHeight="false" outlineLevel="0" collapsed="false">
      <c r="A18" s="21"/>
      <c r="B18" s="21"/>
      <c r="C18" s="3"/>
      <c r="D18" s="3"/>
      <c r="E18" s="3"/>
      <c r="F18" s="3"/>
      <c r="G18" s="3"/>
      <c r="H18" s="3"/>
      <c r="I18" s="3"/>
      <c r="J18" s="3"/>
      <c r="K18" s="7" t="n">
        <f aca="false">COUNTA(C18:J18)-COUNTIF(C18:J18,"")</f>
        <v>-8</v>
      </c>
      <c r="L18" s="7" t="str">
        <f aca="false">IF(A18="","",IF(K18=8,"Complete",IF(K18=0,"Not started","In progress")))</f>
        <v/>
      </c>
      <c r="M18" s="22"/>
    </row>
    <row r="19" customFormat="false" ht="15" hidden="false" customHeight="false" outlineLevel="0" collapsed="false">
      <c r="A19" s="21"/>
      <c r="B19" s="21"/>
      <c r="C19" s="3"/>
      <c r="D19" s="3"/>
      <c r="E19" s="3"/>
      <c r="F19" s="3"/>
      <c r="G19" s="3"/>
      <c r="H19" s="3"/>
      <c r="I19" s="3"/>
      <c r="J19" s="3"/>
      <c r="K19" s="7" t="n">
        <f aca="false">COUNTA(C19:J19)-COUNTIF(C19:J19,"")</f>
        <v>-8</v>
      </c>
      <c r="L19" s="7" t="str">
        <f aca="false">IF(A19="","",IF(K19=8,"Complete",IF(K19=0,"Not started","In progress")))</f>
        <v/>
      </c>
      <c r="M19" s="22"/>
    </row>
    <row r="20" customFormat="false" ht="15" hidden="false" customHeight="false" outlineLevel="0" collapsed="false">
      <c r="A20" s="21"/>
      <c r="B20" s="21"/>
      <c r="C20" s="3"/>
      <c r="D20" s="3"/>
      <c r="E20" s="3"/>
      <c r="F20" s="3"/>
      <c r="G20" s="3"/>
      <c r="H20" s="3"/>
      <c r="I20" s="3"/>
      <c r="J20" s="3"/>
      <c r="K20" s="7" t="n">
        <f aca="false">COUNTA(C20:J20)-COUNTIF(C20:J20,"")</f>
        <v>-8</v>
      </c>
      <c r="L20" s="7" t="str">
        <f aca="false">IF(A20="","",IF(K20=8,"Complete",IF(K20=0,"Not started","In progress")))</f>
        <v/>
      </c>
      <c r="M20" s="22"/>
    </row>
    <row r="21" customFormat="false" ht="15" hidden="false" customHeight="false" outlineLevel="0" collapsed="false">
      <c r="A21" s="21"/>
      <c r="B21" s="21"/>
      <c r="C21" s="3"/>
      <c r="D21" s="3"/>
      <c r="E21" s="3"/>
      <c r="F21" s="3"/>
      <c r="G21" s="3"/>
      <c r="H21" s="3"/>
      <c r="I21" s="3"/>
      <c r="J21" s="3"/>
      <c r="K21" s="7" t="n">
        <f aca="false">COUNTA(C21:J21)-COUNTIF(C21:J21,"")</f>
        <v>-8</v>
      </c>
      <c r="L21" s="7" t="str">
        <f aca="false">IF(A21="","",IF(K21=8,"Complete",IF(K21=0,"Not started","In progress")))</f>
        <v/>
      </c>
      <c r="M21" s="22"/>
    </row>
    <row r="22" customFormat="false" ht="15" hidden="false" customHeight="false" outlineLevel="0" collapsed="false">
      <c r="A22" s="21"/>
      <c r="B22" s="21"/>
      <c r="C22" s="3"/>
      <c r="D22" s="3"/>
      <c r="E22" s="3"/>
      <c r="F22" s="3"/>
      <c r="G22" s="3"/>
      <c r="H22" s="3"/>
      <c r="I22" s="3"/>
      <c r="J22" s="3"/>
      <c r="K22" s="7" t="n">
        <f aca="false">COUNTA(C22:J22)-COUNTIF(C22:J22,"")</f>
        <v>-8</v>
      </c>
      <c r="L22" s="7" t="str">
        <f aca="false">IF(A22="","",IF(K22=8,"Complete",IF(K22=0,"Not started","In progress")))</f>
        <v/>
      </c>
      <c r="M22" s="22"/>
    </row>
    <row r="23" customFormat="false" ht="15" hidden="false" customHeight="false" outlineLevel="0" collapsed="false">
      <c r="A23" s="21"/>
      <c r="B23" s="21"/>
      <c r="C23" s="3"/>
      <c r="D23" s="3"/>
      <c r="E23" s="3"/>
      <c r="F23" s="3"/>
      <c r="G23" s="3"/>
      <c r="H23" s="3"/>
      <c r="I23" s="3"/>
      <c r="J23" s="3"/>
      <c r="K23" s="7" t="n">
        <f aca="false">COUNTA(C23:J23)-COUNTIF(C23:J23,"")</f>
        <v>-8</v>
      </c>
      <c r="L23" s="7" t="str">
        <f aca="false">IF(A23="","",IF(K23=8,"Complete",IF(K23=0,"Not started","In progress")))</f>
        <v/>
      </c>
      <c r="M23" s="22"/>
    </row>
    <row r="24" customFormat="false" ht="15" hidden="false" customHeight="false" outlineLevel="0" collapsed="false">
      <c r="A24" s="21"/>
      <c r="B24" s="21"/>
      <c r="C24" s="3"/>
      <c r="D24" s="3"/>
      <c r="E24" s="3"/>
      <c r="F24" s="3"/>
      <c r="G24" s="3"/>
      <c r="H24" s="3"/>
      <c r="I24" s="3"/>
      <c r="J24" s="3"/>
      <c r="K24" s="7" t="n">
        <f aca="false">COUNTA(C24:J24)-COUNTIF(C24:J24,"")</f>
        <v>-8</v>
      </c>
      <c r="L24" s="7" t="str">
        <f aca="false">IF(A24="","",IF(K24=8,"Complete",IF(K24=0,"Not started","In progress")))</f>
        <v/>
      </c>
      <c r="M24" s="22"/>
    </row>
    <row r="25" customFormat="false" ht="15" hidden="false" customHeight="false" outlineLevel="0" collapsed="false">
      <c r="A25" s="21"/>
      <c r="B25" s="21"/>
      <c r="C25" s="3"/>
      <c r="D25" s="3"/>
      <c r="E25" s="3"/>
      <c r="F25" s="3"/>
      <c r="G25" s="3"/>
      <c r="H25" s="3"/>
      <c r="I25" s="3"/>
      <c r="J25" s="3"/>
      <c r="K25" s="7" t="n">
        <f aca="false">COUNTA(C25:J25)-COUNTIF(C25:J25,"")</f>
        <v>-8</v>
      </c>
      <c r="L25" s="7" t="str">
        <f aca="false">IF(A25="","",IF(K25=8,"Complete",IF(K25=0,"Not started","In progress")))</f>
        <v/>
      </c>
      <c r="M25" s="22"/>
    </row>
    <row r="26" customFormat="false" ht="15" hidden="false" customHeight="false" outlineLevel="0" collapsed="false">
      <c r="A26" s="2" t="s">
        <v>58</v>
      </c>
      <c r="K26" s="2" t="n">
        <f aca="false">COUNTIF(L6:L25,"Complete")</f>
        <v>0</v>
      </c>
    </row>
    <row r="27" customFormat="false" ht="15" hidden="false" customHeight="false" outlineLevel="0" collapsed="false">
      <c r="A27" s="2" t="s">
        <v>59</v>
      </c>
      <c r="K27" s="2" t="n">
        <f aca="false">COUNTA(A6:A25)</f>
        <v>0</v>
      </c>
    </row>
  </sheetData>
  <conditionalFormatting sqref="L6:L25">
    <cfRule type="expression" priority="2" aboveAverage="0" equalAverage="0" bottom="0" percent="0" rank="0" text="" dxfId="0">
      <formula>L6="Complete"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false" outlineLevel="0" max="3" min="3" style="0" width="90"/>
  </cols>
  <sheetData>
    <row r="1" customFormat="false" ht="17.35" hidden="false" customHeight="false" outlineLevel="0" collapsed="false">
      <c r="A1" s="1" t="s">
        <v>60</v>
      </c>
    </row>
    <row r="3" customFormat="false" ht="15" hidden="false" customHeight="false" outlineLevel="0" collapsed="false">
      <c r="A3" s="23" t="s">
        <v>61</v>
      </c>
      <c r="B3" s="23" t="s">
        <v>62</v>
      </c>
      <c r="C3" s="23" t="s">
        <v>63</v>
      </c>
    </row>
    <row r="4" customFormat="false" ht="15" hidden="false" customHeight="false" outlineLevel="0" collapsed="false">
      <c r="A4" s="4" t="s">
        <v>64</v>
      </c>
      <c r="B4" s="24" t="n">
        <v>50</v>
      </c>
      <c r="C4" s="25" t="s">
        <v>65</v>
      </c>
    </row>
    <row r="5" customFormat="false" ht="15" hidden="false" customHeight="false" outlineLevel="0" collapsed="false">
      <c r="A5" s="4" t="s">
        <v>66</v>
      </c>
      <c r="B5" s="24" t="n">
        <v>100</v>
      </c>
      <c r="C5" s="25" t="s">
        <v>67</v>
      </c>
    </row>
    <row r="6" customFormat="false" ht="15" hidden="false" customHeight="false" outlineLevel="0" collapsed="false">
      <c r="A6" s="4" t="s">
        <v>68</v>
      </c>
      <c r="B6" s="24" t="n">
        <v>10</v>
      </c>
      <c r="C6" s="25" t="s">
        <v>69</v>
      </c>
    </row>
    <row r="7" customFormat="false" ht="15" hidden="false" customHeight="false" outlineLevel="0" collapsed="false">
      <c r="A7" s="4" t="s">
        <v>70</v>
      </c>
      <c r="B7" s="24" t="n">
        <v>10</v>
      </c>
      <c r="C7" s="25" t="s">
        <v>71</v>
      </c>
    </row>
    <row r="8" customFormat="false" ht="26.85" hidden="false" customHeight="false" outlineLevel="0" collapsed="false">
      <c r="A8" s="4" t="s">
        <v>72</v>
      </c>
      <c r="B8" s="24" t="n">
        <v>5</v>
      </c>
      <c r="C8" s="25" t="s">
        <v>73</v>
      </c>
    </row>
    <row r="9" customFormat="false" ht="15" hidden="false" customHeight="false" outlineLevel="0" collapsed="false">
      <c r="A9" s="4" t="s">
        <v>74</v>
      </c>
      <c r="B9" s="24" t="n">
        <v>8</v>
      </c>
      <c r="C9" s="25" t="s">
        <v>75</v>
      </c>
    </row>
    <row r="11" customFormat="false" ht="15" hidden="false" customHeight="false" outlineLevel="0" collapsed="false">
      <c r="A11" s="2" t="s">
        <v>76</v>
      </c>
    </row>
    <row r="12" customFormat="false" ht="48" hidden="false" customHeight="true" outlineLevel="0" collapsed="false">
      <c r="A12" s="26" t="s">
        <v>77</v>
      </c>
      <c r="B12" s="26"/>
      <c r="C12" s="26"/>
    </row>
    <row r="13" customFormat="false" ht="48" hidden="false" customHeight="true" outlineLevel="0" collapsed="false">
      <c r="A13" s="26" t="s">
        <v>78</v>
      </c>
      <c r="B13" s="26"/>
      <c r="C13" s="26"/>
    </row>
    <row r="14" customFormat="false" ht="48" hidden="false" customHeight="true" outlineLevel="0" collapsed="false">
      <c r="A14" s="26" t="s">
        <v>79</v>
      </c>
      <c r="B14" s="26"/>
      <c r="C14" s="26"/>
    </row>
    <row r="15" customFormat="false" ht="48" hidden="false" customHeight="true" outlineLevel="0" collapsed="false">
      <c r="A15" s="26" t="s">
        <v>80</v>
      </c>
      <c r="B15" s="26"/>
      <c r="C15" s="26"/>
    </row>
  </sheetData>
  <mergeCells count="4">
    <mergeCell ref="A12:C12"/>
    <mergeCell ref="A13:C13"/>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2026-10-29T22:31:10Z</dcterms:created>
  <dc:creator>openpyxl</dc:creator>
  <dc:description/>
  <dc:language>en-US</dc:language>
  <cp:lastModifiedBy/>
  <dcterms:modified xsi:type="dcterms:W3CDTF">2026-10-29T22:31:10Z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